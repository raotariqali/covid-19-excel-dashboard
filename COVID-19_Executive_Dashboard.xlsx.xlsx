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5f89c3a833dffa4d/Desktop/"/>
    </mc:Choice>
  </mc:AlternateContent>
  <xr:revisionPtr revIDLastSave="0" documentId="8_{905CAC8F-F468-442F-80D9-8B6FA7CF958F}" xr6:coauthVersionLast="47" xr6:coauthVersionMax="47" xr10:uidLastSave="{00000000-0000-0000-0000-000000000000}"/>
  <bookViews>
    <workbookView xWindow="-120" yWindow="-120" windowWidth="25440" windowHeight="15270" activeTab="4" xr2:uid="{00000000-000D-0000-FFFF-FFFF00000000}"/>
  </bookViews>
  <sheets>
    <sheet name="UNCLEAN COVID Data" sheetId="1" r:id="rId1"/>
    <sheet name="Data Analysis" sheetId="5" r:id="rId2"/>
    <sheet name="PivotTables" sheetId="8" r:id="rId3"/>
    <sheet name="Calculations" sheetId="6" r:id="rId4"/>
    <sheet name="Dashboard" sheetId="9" r:id="rId5"/>
  </sheets>
  <definedNames>
    <definedName name="_xlnm._FilterDatabase" localSheetId="3" hidden="1">Calculations!$A$1:$P$189</definedName>
    <definedName name="_xlnm._FilterDatabase" localSheetId="0" hidden="1">'UNCLEAN COVID Data'!$B$1:$L$4692</definedName>
    <definedName name="NativeTimeline_Date">#N/A</definedName>
    <definedName name="Slicer_Continent">#N/A</definedName>
    <definedName name="Slicer_WHO_Region">#N/A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calcChain.xml><?xml version="1.0" encoding="utf-8"?>
<calcChain xmlns="http://schemas.openxmlformats.org/spreadsheetml/2006/main">
  <c r="A2" i="8" l="1"/>
  <c r="A10" i="8"/>
  <c r="D2" i="8"/>
  <c r="AD2" i="8"/>
  <c r="D13" i="8"/>
</calcChain>
</file>

<file path=xl/sharedStrings.xml><?xml version="1.0" encoding="utf-8"?>
<sst xmlns="http://schemas.openxmlformats.org/spreadsheetml/2006/main" count="10322" uniqueCount="317">
  <si>
    <t>Country/Region</t>
  </si>
  <si>
    <t>New cases</t>
  </si>
  <si>
    <t>New deaths</t>
  </si>
  <si>
    <t>New recovered</t>
  </si>
  <si>
    <t>Recovered / 100 Cases</t>
  </si>
  <si>
    <t>Confirmed last week</t>
  </si>
  <si>
    <t>1 week change</t>
  </si>
  <si>
    <t>1 week % increase</t>
  </si>
  <si>
    <t>WHO Region</t>
  </si>
  <si>
    <t>Afghanistan</t>
  </si>
  <si>
    <t>Eastern Mediterranean</t>
  </si>
  <si>
    <t>Albania</t>
  </si>
  <si>
    <t>Europe</t>
  </si>
  <si>
    <t>Algeria</t>
  </si>
  <si>
    <t>Africa</t>
  </si>
  <si>
    <t>Andorra</t>
  </si>
  <si>
    <t>Angola</t>
  </si>
  <si>
    <t>Antigua and Barbuda</t>
  </si>
  <si>
    <t>Americas</t>
  </si>
  <si>
    <t>Argentina</t>
  </si>
  <si>
    <t>Armenia</t>
  </si>
  <si>
    <t>Australia</t>
  </si>
  <si>
    <t>Western Pacific</t>
  </si>
  <si>
    <t>Austria</t>
  </si>
  <si>
    <t>Azerbaijan</t>
  </si>
  <si>
    <t>Bahamas</t>
  </si>
  <si>
    <t>Bahrain</t>
  </si>
  <si>
    <t>Bangladesh</t>
  </si>
  <si>
    <t>South-East Asia</t>
  </si>
  <si>
    <t>Barbados</t>
  </si>
  <si>
    <t>Belarus</t>
  </si>
  <si>
    <t>Belgium</t>
  </si>
  <si>
    <t>Belize</t>
  </si>
  <si>
    <t>Benin</t>
  </si>
  <si>
    <t>Bhutan</t>
  </si>
  <si>
    <t>Bolivia</t>
  </si>
  <si>
    <t>Bosnia and Herzegovina</t>
  </si>
  <si>
    <t>Botswana</t>
  </si>
  <si>
    <t>Brazil</t>
  </si>
  <si>
    <t>Brunei</t>
  </si>
  <si>
    <t>Bulgaria</t>
  </si>
  <si>
    <t>Burkina Faso</t>
  </si>
  <si>
    <t>Burma</t>
  </si>
  <si>
    <t>Burundi</t>
  </si>
  <si>
    <t>Cabo Verde</t>
  </si>
  <si>
    <t>Cambodia</t>
  </si>
  <si>
    <t>Cameroon</t>
  </si>
  <si>
    <t>Canada</t>
  </si>
  <si>
    <t>Central African Republic</t>
  </si>
  <si>
    <t>Chad</t>
  </si>
  <si>
    <t>Chile</t>
  </si>
  <si>
    <t>China</t>
  </si>
  <si>
    <t>Colombia</t>
  </si>
  <si>
    <t>Comoros</t>
  </si>
  <si>
    <t>Congo (Brazzaville)</t>
  </si>
  <si>
    <t>Congo (Kinshasa)</t>
  </si>
  <si>
    <t>Costa Rica</t>
  </si>
  <si>
    <t>Cote d'Ivoire</t>
  </si>
  <si>
    <t>Croatia</t>
  </si>
  <si>
    <t>Cuba</t>
  </si>
  <si>
    <t>Cyprus</t>
  </si>
  <si>
    <t>Czechia</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</si>
  <si>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</si>
  <si>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</si>
  <si>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</si>
  <si>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</si>
  <si>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</si>
  <si>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</si>
  <si>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</si>
  <si>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</si>
  <si>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</si>
  <si>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</si>
  <si>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</si>
  <si>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</si>
  <si>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</si>
  <si>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</si>
  <si>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</si>
  <si>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</si>
  <si>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</si>
  <si>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</si>
  <si>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</si>
  <si>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</si>
  <si>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</si>
  <si>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Greenland</t>
  </si>
  <si>
    <t>Grenada</t>
  </si>
  <si>
    <t>Guatemala</t>
  </si>
  <si>
    <t>Guinea</t>
  </si>
  <si>
    <t>Guinea-Bissau</t>
  </si>
  <si>
    <t>Guyana</t>
  </si>
  <si>
    <t>Haiti</t>
  </si>
  <si>
    <t>Holy See</t>
  </si>
  <si>
    <t>Honduras</t>
  </si>
  <si>
    <t>Hungary</t>
  </si>
  <si>
    <t>Iceland</t>
  </si>
  <si>
    <t>India</t>
  </si>
  <si>
    <t>Indonesia</t>
  </si>
  <si>
    <t>Iran</t>
  </si>
  <si>
    <t>Iraq</t>
  </si>
  <si>
    <t>Ireland</t>
  </si>
  <si>
    <t>Israel</t>
  </si>
  <si>
    <t>Italy</t>
  </si>
  <si>
    <t>Jamaica</t>
  </si>
  <si>
    <t>Japan</t>
  </si>
  <si>
    <t>Jordan</t>
  </si>
  <si>
    <t>Kazakhstan</t>
  </si>
  <si>
    <t>Kenya</t>
  </si>
  <si>
    <t>Kosovo</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</si>
  <si>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</si>
  <si>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</si>
  <si>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</si>
  <si>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</si>
  <si>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</si>
  <si>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</si>
  <si>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</si>
  <si>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</si>
  <si>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</si>
  <si>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</si>
  <si>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</si>
  <si>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</si>
  <si>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</si>
  <si>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</si>
  <si>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</si>
  <si>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</si>
  <si>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</si>
  <si>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Mauritania</t>
  </si>
  <si>
    <t>Mauritius</t>
  </si>
  <si>
    <t>Mexico</t>
  </si>
  <si>
    <t>Moldova</t>
  </si>
  <si>
    <t>Monaco</t>
  </si>
  <si>
    <t>Mongolia</t>
  </si>
  <si>
    <t>Montenegro</t>
  </si>
  <si>
    <t>Morocco</t>
  </si>
  <si>
    <t>Mozambique</t>
  </si>
  <si>
    <t>Namibia</t>
  </si>
  <si>
    <t>Nepal</t>
  </si>
  <si>
    <t>Netherlands</t>
  </si>
  <si>
    <t>New Zealand</t>
  </si>
  <si>
    <t>Nicaragua</t>
  </si>
  <si>
    <t>Niger</t>
  </si>
  <si>
    <t>Nigeria</t>
  </si>
  <si>
    <t>North Macedonia</t>
  </si>
  <si>
    <t>Norway</t>
  </si>
  <si>
    <t>Oman</t>
  </si>
  <si>
    <t>Pakistan</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</si>
  <si>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</si>
  <si>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</si>
  <si>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</si>
  <si>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</si>
  <si>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</si>
  <si>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</si>
  <si>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</si>
  <si>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</si>
  <si>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</si>
  <si>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</si>
  <si>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</si>
  <si>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</si>
  <si>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</si>
  <si>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</si>
  <si>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San Marino</t>
  </si>
  <si>
    <t>Sao Tome and Principe</t>
  </si>
  <si>
    <t>Saudi Arabia</t>
  </si>
  <si>
    <t>Senegal</t>
  </si>
  <si>
    <t>Serbia</t>
  </si>
  <si>
    <t>Seychelles</t>
  </si>
  <si>
    <t>Sierra Leone</t>
  </si>
  <si>
    <t>Singapore</t>
  </si>
  <si>
    <t>Slovakia</t>
  </si>
  <si>
    <t>Slovenia</t>
  </si>
  <si>
    <t>Somalia</t>
  </si>
  <si>
    <t>South Africa</t>
  </si>
  <si>
    <t>South Korea</t>
  </si>
  <si>
    <t>South Sudan</t>
  </si>
  <si>
    <t>Spain</t>
  </si>
  <si>
    <t>Sri Lanka</t>
  </si>
  <si>
    <t>Sudan</t>
  </si>
  <si>
    <t>Suriname</t>
  </si>
  <si>
    <t>Sweden</t>
  </si>
  <si>
    <t>Switzerland</t>
  </si>
  <si>
    <t>Syria</t>
  </si>
  <si>
    <t>Taiwan*</t>
  </si>
  <si>
    <t>Tajikistan</t>
  </si>
  <si>
    <t>Tanzania</t>
  </si>
  <si>
    <t>Thailand</t>
  </si>
  <si>
    <t>Timor-Leste</t>
  </si>
  <si>
    <t>Togo</t>
  </si>
  <si>
    <t>Trinidad and Tobago</t>
  </si>
  <si>
    <t>Tunisia</t>
  </si>
  <si>
    <t>Turkey</t>
  </si>
  <si>
    <t>US</t>
  </si>
  <si>
    <t>Uganda</t>
  </si>
  <si>
    <t>Ukraine</t>
  </si>
  <si>
    <t>United Arab Emirates</t>
  </si>
  <si>
    <t>United Kingdom</t>
  </si>
  <si>
    <t>Uruguay</t>
  </si>
  <si>
    <t>Uzbekistan</t>
  </si>
  <si>
    <t>Venezuela</t>
  </si>
  <si>
    <t>Vietnam</t>
  </si>
  <si>
    <t>West Bank and Gaza</t>
  </si>
  <si>
    <t>Western Sahara</t>
  </si>
  <si>
    <t>Yemen</t>
  </si>
  <si>
    <t>Zambia</t>
  </si>
  <si>
    <t>Zimbabwe</t>
  </si>
  <si>
    <t>Province/State</t>
  </si>
  <si>
    <t>Australian Capital Territory</t>
  </si>
  <si>
    <t>New South Wales</t>
  </si>
  <si>
    <t>Northern Territory</t>
  </si>
  <si>
    <t>Queensland</t>
  </si>
  <si>
    <t>South Australia</t>
  </si>
  <si>
    <t>Tasmania</t>
  </si>
  <si>
    <t>Victoria</t>
  </si>
  <si>
    <t>Western Australia</t>
  </si>
  <si>
    <t>Alberta</t>
  </si>
  <si>
    <t>British Columbia</t>
  </si>
  <si>
    <t>Manitoba</t>
  </si>
  <si>
    <t>New Brunswick</t>
  </si>
  <si>
    <t>Newfoundland and Labrador</t>
  </si>
  <si>
    <t>Nova Scotia</t>
  </si>
  <si>
    <t>Ontario</t>
  </si>
  <si>
    <t>Prince Edward Island</t>
  </si>
  <si>
    <t>Quebec</t>
  </si>
  <si>
    <t>Saskatchewan</t>
  </si>
  <si>
    <t>Anhui</t>
  </si>
  <si>
    <t>Beijing</t>
  </si>
  <si>
    <t>Chongqing</t>
  </si>
  <si>
    <t>Fujian</t>
  </si>
  <si>
    <t>Gansu</t>
  </si>
  <si>
    <t>Guangdong</t>
  </si>
  <si>
    <t>Guangxi</t>
  </si>
  <si>
    <t>Guizhou</t>
  </si>
  <si>
    <t>Hainan</t>
  </si>
  <si>
    <t>Hebei</t>
  </si>
  <si>
    <t>Heilongjiang</t>
  </si>
  <si>
    <t>Henan</t>
  </si>
  <si>
    <t>Hong Kong</t>
  </si>
  <si>
    <t>Hubei</t>
  </si>
  <si>
    <t>Hunan</t>
  </si>
  <si>
    <t>Inner Mongolia</t>
  </si>
  <si>
    <t>Jiangsu</t>
  </si>
  <si>
    <t>Jiangxi</t>
  </si>
  <si>
    <t>Jilin</t>
  </si>
  <si>
    <t>Liaoning</t>
  </si>
  <si>
    <t>Macau</t>
  </si>
  <si>
    <t>Ningxia</t>
  </si>
  <si>
    <t>Qinghai</t>
  </si>
  <si>
    <t>Shaanxi</t>
  </si>
  <si>
    <t>Shandong</t>
  </si>
  <si>
    <t>Shanghai</t>
  </si>
  <si>
    <t>Shanxi</t>
  </si>
  <si>
    <t>Sichuan</t>
  </si>
  <si>
    <t>Tianjin</t>
  </si>
  <si>
    <t>Tibet</t>
  </si>
  <si>
    <t>Xinjiang</t>
  </si>
  <si>
    <t>Yunnan</t>
  </si>
  <si>
    <t>Zhejiang</t>
  </si>
  <si>
    <t>Faroe Islands</t>
  </si>
  <si>
    <t>French Guiana</t>
  </si>
  <si>
    <t>French Polynesia</t>
  </si>
  <si>
    <t>Guadeloupe</t>
  </si>
  <si>
    <t>Mayotte</t>
  </si>
  <si>
    <t>New Caledonia</t>
  </si>
  <si>
    <t>Reunion</t>
  </si>
  <si>
    <t>Saint Barthelemy</t>
  </si>
  <si>
    <t>St Martin</t>
  </si>
  <si>
    <t>Martinique</t>
  </si>
  <si>
    <t>Aruba</t>
  </si>
  <si>
    <t>Curacao</t>
  </si>
  <si>
    <t>Sint Maarten</t>
  </si>
  <si>
    <t>Bermuda</t>
  </si>
  <si>
    <t>Cayman Islands</t>
  </si>
  <si>
    <t>Channel Islands</t>
  </si>
  <si>
    <t>Gibraltar</t>
  </si>
  <si>
    <t>Isle of Man</t>
  </si>
  <si>
    <t>Montserrat</t>
  </si>
  <si>
    <t>Northwest Territories</t>
  </si>
  <si>
    <t>Yukon</t>
  </si>
  <si>
    <t>Anguilla</t>
  </si>
  <si>
    <t>British Virgin Islands</t>
  </si>
  <si>
    <t>Turks and Caicos Islands</t>
  </si>
  <si>
    <t>Falkland Islands (Malvinas)</t>
  </si>
  <si>
    <t>Saint Pierre and Miquelon</t>
  </si>
  <si>
    <t>Date</t>
  </si>
  <si>
    <t>Continent</t>
  </si>
  <si>
    <t>Population</t>
  </si>
  <si>
    <t>TotalCases</t>
  </si>
  <si>
    <t>TotalDeaths</t>
  </si>
  <si>
    <t>TotalRecovered</t>
  </si>
  <si>
    <t>ActiveCases</t>
  </si>
  <si>
    <t>Serious,Critical</t>
  </si>
  <si>
    <t>Deaths/1M pop</t>
  </si>
  <si>
    <t>TotalTests</t>
  </si>
  <si>
    <t>Tests/1M pop</t>
  </si>
  <si>
    <t>North America</t>
  </si>
  <si>
    <t>South America</t>
  </si>
  <si>
    <t>Asia</t>
  </si>
  <si>
    <t>Australia/Oceania</t>
  </si>
  <si>
    <t>North Americaz</t>
  </si>
  <si>
    <t>Total Cases/1M pop</t>
  </si>
  <si>
    <t xml:space="preserve"> </t>
  </si>
  <si>
    <t>Row Labels</t>
  </si>
  <si>
    <t>Sum of Deaths/1M pop</t>
  </si>
  <si>
    <t>Grand Total</t>
  </si>
  <si>
    <t>Sum of New deaths</t>
  </si>
  <si>
    <t>Sum of TotalDeaths</t>
  </si>
  <si>
    <t>Sum of TotalRecovered</t>
  </si>
  <si>
    <t>Sum of ActiveCases</t>
  </si>
  <si>
    <t>Sum of Total Cases/1M pop</t>
  </si>
  <si>
    <t>Sum of TotalTests</t>
  </si>
  <si>
    <t>Sum of Tests/1M pop</t>
  </si>
  <si>
    <t>Sum of New cases</t>
  </si>
  <si>
    <t>Sum of TotalCases</t>
  </si>
  <si>
    <t>Jan</t>
  </si>
  <si>
    <t>Feb</t>
  </si>
  <si>
    <t>Mar</t>
  </si>
  <si>
    <t>Apr</t>
  </si>
  <si>
    <t>May</t>
  </si>
  <si>
    <t>Jun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</si>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</sst>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7">
    <xf numFmtId="0" fontId="0" fillId="0" borderId="0" xfId="0"/>
    <xf numFmtId="0" fontId="18" fillId="0" borderId="0" xfId="0" applyFont="1"/>
    <xf numFmtId="1" fontId="0" fillId="0" borderId="0" xfId="0" applyNumberFormat="1"/>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43" fontId="0" fillId="0" borderId="0" xfId="42"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[covid 19 dashbord_complete.xlsx]PivotTables!PivotTable14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new cases per month</a:t>
            </a:r>
          </a:p>
        </c:rich>
      </c:tx>
      <c:layout>
        <c:manualLayout>
          <c:xMode val="edge"/>
          <c:yMode val="edge"/>
          <c:x val="0.70603848072709918"/>
          <c:y val="1.749781277340332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tx2">
                <a:lumMod val="60000"/>
                <a:lumOff val="40000"/>
              </a:schemeClr>
            </a:solidFill>
            <a:round/>
          </a:ln>
          <a:effectLst>
            <a:outerShdw dist="25400" dir="2700000" algn="tl" rotWithShape="0">
              <a:schemeClr val="dk1">
                <a:tint val="88500"/>
              </a:schemeClr>
            </a:outerShdw>
          </a:effectLst>
        </c:spPr>
        <c:marker>
          <c:symbol val="circle"/>
          <c:size val="5"/>
          <c:spPr>
            <a:solidFill>
              <a:srgbClr val="C00000"/>
            </a:solidFill>
            <a:ln w="22225">
              <a:solidFill>
                <a:schemeClr val="tx2">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25428949480489"/>
          <c:y val="0.15680336832895886"/>
          <c:w val="0.71748916509403271"/>
          <c:h val="0.60255869058034417"/>
        </c:manualLayout>
      </c:layout>
      <c:lineChart>
        <c:grouping val="standard"/>
        <c:varyColors val="0"/>
        <c:ser>
          <c:idx val="0"/>
          <c:order val="0"/>
          <c:tx>
            <c:strRef>
              <c:f>PivotTables!$H$3</c:f>
              <c:strCache>
                <c:ptCount val="1"/>
                <c:pt idx="0">
                  <c:v>Total</c:v>
                </c:pt>
              </c:strCache>
            </c:strRef>
          </c:tx>
          <c:spPr>
            <a:ln w="34925" cap="rnd">
              <a:solidFill>
                <a:schemeClr val="tx2">
                  <a:lumMod val="60000"/>
                  <a:lumOff val="40000"/>
                </a:schemeClr>
              </a:solidFill>
              <a:round/>
            </a:ln>
            <a:effectLst>
              <a:outerShdw dist="25400" dir="2700000" algn="tl" rotWithShape="0">
                <a:schemeClr val="dk1">
                  <a:tint val="88500"/>
                </a:schemeClr>
              </a:outerShdw>
            </a:effectLst>
          </c:spPr>
          <c:marker>
            <c:symbol val="circle"/>
            <c:size val="5"/>
            <c:spPr>
              <a:solidFill>
                <a:srgbClr val="C00000"/>
              </a:solidFill>
              <a:ln w="22225">
                <a:solidFill>
                  <a:schemeClr val="tx2">
                    <a:lumMod val="60000"/>
                    <a:lumOff val="40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PivotTables!$G$4:$G$11</c:f>
              <c:strCache>
                <c:ptCount val="7"/>
                <c:pt idx="0">
                  <c:v>Jan</c:v>
                </c:pt>
                <c:pt idx="1">
                  <c:v>Feb</c:v>
                </c:pt>
                <c:pt idx="2">
                  <c:v>Mar</c:v>
                </c:pt>
                <c:pt idx="3">
                  <c:v>Apr</c:v>
                </c:pt>
                <c:pt idx="4">
                  <c:v>May</c:v>
                </c:pt>
                <c:pt idx="5">
                  <c:v>Jun</c:v>
                </c:pt>
                <c:pt idx="6">
                  <c:v>Jul</c:v>
                </c:pt>
              </c:strCache>
            </c:strRef>
          </c:cat>
          <c:val>
            <c:numRef>
              <c:f>PivotTables!$H$4:$H$11</c:f>
              <c:numCache>
                <c:formatCode>General</c:formatCode>
                <c:ptCount val="7"/>
                <c:pt idx="0">
                  <c:v>9372</c:v>
                </c:pt>
                <c:pt idx="1">
                  <c:v>75379</c:v>
                </c:pt>
                <c:pt idx="2">
                  <c:v>786064</c:v>
                </c:pt>
                <c:pt idx="3">
                  <c:v>2412383</c:v>
                </c:pt>
                <c:pt idx="4">
                  <c:v>2921042</c:v>
                </c:pt>
                <c:pt idx="5">
                  <c:v>4265801</c:v>
                </c:pt>
                <c:pt idx="6">
                  <c:v>6030911</c:v>
                </c:pt>
              </c:numCache>
            </c:numRef>
          </c:val>
          <c:smooth val="0"/>
          <c:extLst>
            <c:ext xmlns:c16="http://schemas.microsoft.com/office/drawing/2014/chart" uri="{C3380CC4-5D6E-409C-BE32-E72D297353CC}">
              <c16:uniqueId val="{00000000-3B21-45BC-898E-8A6BD1BDD1CF}"/>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80522927"/>
        <c:axId val="580517103"/>
      </c:lineChart>
      <c:catAx>
        <c:axId val="58052292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b="1">
                    <a:solidFill>
                      <a:schemeClr val="tx1"/>
                    </a:solidFill>
                  </a:rPr>
                  <a:t>month wise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80517103"/>
        <c:crosses val="autoZero"/>
        <c:auto val="1"/>
        <c:lblAlgn val="ctr"/>
        <c:lblOffset val="100"/>
        <c:noMultiLvlLbl val="0"/>
      </c:catAx>
      <c:valAx>
        <c:axId val="58051710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a:solidFill>
                      <a:schemeClr val="tx1"/>
                    </a:solidFill>
                  </a:rPr>
                  <a:t>new cases</a:t>
                </a:r>
              </a:p>
              <a:p>
                <a:pPr>
                  <a:defRPr>
                    <a:solidFill>
                      <a:schemeClr val="tx1"/>
                    </a:solidFill>
                  </a:defRPr>
                </a:pP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8052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dashbord_complete.xlsx]PivotTables!PivotTable15</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month wise death</a:t>
            </a:r>
          </a:p>
        </c:rich>
      </c:tx>
      <c:layout>
        <c:manualLayout>
          <c:xMode val="edge"/>
          <c:yMode val="edge"/>
          <c:x val="0.69318215501036073"/>
          <c:y val="1.7497812773403325E-2"/>
        </c:manualLayout>
      </c:layout>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spPr>
          <a:ln w="28575" cap="rnd">
            <a:solidFill>
              <a:srgbClr val="FF0000"/>
            </a:solidFill>
            <a:round/>
          </a:ln>
          <a:effectLst/>
        </c:spPr>
        <c:marker>
          <c:symbol val="circle"/>
          <c:size val="5"/>
          <c:spPr>
            <a:solidFill>
              <a:srgbClr val="FFFF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FF0000"/>
            </a:solidFill>
            <a:round/>
          </a:ln>
          <a:effectLst/>
        </c:spPr>
        <c:marker>
          <c:symbol val="circle"/>
          <c:size val="5"/>
          <c:spPr>
            <a:solidFill>
              <a:srgbClr val="FFFF00"/>
            </a:solidFill>
            <a:ln w="9525">
              <a:solidFill>
                <a:srgbClr val="FF0000"/>
              </a:solidFill>
            </a:ln>
            <a:effectLst/>
          </c:spPr>
        </c:marker>
      </c:pivotFmt>
    </c:pivotFmts>
    <c:plotArea>
      <c:layout>
        <c:manualLayout>
          <c:layoutTarget val="inner"/>
          <c:xMode val="edge"/>
          <c:yMode val="edge"/>
          <c:x val="0.15891426071741033"/>
          <c:y val="0.19485892388451448"/>
          <c:w val="0.81053018372703411"/>
          <c:h val="0.60616980169145529"/>
        </c:manualLayout>
      </c:layout>
      <c:lineChart>
        <c:grouping val="standard"/>
        <c:varyColors val="0"/>
        <c:ser>
          <c:idx val="0"/>
          <c:order val="0"/>
          <c:tx>
            <c:strRef>
              <c:f>PivotTables!$M$3</c:f>
              <c:strCache>
                <c:ptCount val="1"/>
                <c:pt idx="0">
                  <c:v>Total</c:v>
                </c:pt>
              </c:strCache>
            </c:strRef>
          </c:tx>
          <c:spPr>
            <a:ln w="28575" cap="rnd">
              <a:solidFill>
                <a:srgbClr val="FF0000"/>
              </a:solidFill>
              <a:round/>
            </a:ln>
            <a:effectLst/>
          </c:spPr>
          <c:marker>
            <c:symbol val="circle"/>
            <c:size val="5"/>
            <c:spPr>
              <a:solidFill>
                <a:srgbClr val="FFFF00"/>
              </a:solidFill>
              <a:ln w="9525">
                <a:solidFill>
                  <a:srgbClr val="FF0000"/>
                </a:solidFill>
              </a:ln>
              <a:effectLst/>
            </c:spPr>
          </c:marker>
          <c:dPt>
            <c:idx val="3"/>
            <c:marker>
              <c:symbol val="circle"/>
              <c:size val="5"/>
              <c:spPr>
                <a:solidFill>
                  <a:srgbClr val="FFFF00"/>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1-8DEA-4BB8-B6F8-DBA175E619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PivotTables!$L$4:$L$11</c:f>
              <c:strCache>
                <c:ptCount val="7"/>
                <c:pt idx="0">
                  <c:v>Jan</c:v>
                </c:pt>
                <c:pt idx="1">
                  <c:v>Feb</c:v>
                </c:pt>
                <c:pt idx="2">
                  <c:v>Mar</c:v>
                </c:pt>
                <c:pt idx="3">
                  <c:v>Apr</c:v>
                </c:pt>
                <c:pt idx="4">
                  <c:v>May</c:v>
                </c:pt>
                <c:pt idx="5">
                  <c:v>Jun</c:v>
                </c:pt>
                <c:pt idx="6">
                  <c:v>Jul</c:v>
                </c:pt>
              </c:strCache>
            </c:strRef>
          </c:cat>
          <c:val>
            <c:numRef>
              <c:f>PivotTables!$M$4:$M$11</c:f>
              <c:numCache>
                <c:formatCode>General</c:formatCode>
                <c:ptCount val="7"/>
                <c:pt idx="0">
                  <c:v>196</c:v>
                </c:pt>
                <c:pt idx="1">
                  <c:v>2723</c:v>
                </c:pt>
                <c:pt idx="2">
                  <c:v>41542</c:v>
                </c:pt>
                <c:pt idx="3">
                  <c:v>190226</c:v>
                </c:pt>
                <c:pt idx="4">
                  <c:v>138902</c:v>
                </c:pt>
                <c:pt idx="5">
                  <c:v>137604</c:v>
                </c:pt>
                <c:pt idx="6">
                  <c:v>142826</c:v>
                </c:pt>
              </c:numCache>
            </c:numRef>
          </c:val>
          <c:smooth val="0"/>
          <c:extLst>
            <c:ext xmlns:c16="http://schemas.microsoft.com/office/drawing/2014/chart" uri="{C3380CC4-5D6E-409C-BE32-E72D297353CC}">
              <c16:uniqueId val="{00000007-80F3-4DCD-9B1D-54C27C0D1ACC}"/>
            </c:ext>
          </c:extLst>
        </c:ser>
        <c:dLbls>
          <c:dLblPos val="t"/>
          <c:showLegendKey val="0"/>
          <c:showVal val="1"/>
          <c:showCatName val="0"/>
          <c:showSerName val="0"/>
          <c:showPercent val="0"/>
          <c:showBubbleSize val="0"/>
        </c:dLbls>
        <c:marker val="1"/>
        <c:smooth val="0"/>
        <c:axId val="578232111"/>
        <c:axId val="578233359"/>
      </c:lineChart>
      <c:catAx>
        <c:axId val="57823211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month</a:t>
                </a:r>
                <a:r>
                  <a:rPr lang="en-US" b="1" baseline="0">
                    <a:solidFill>
                      <a:schemeClr val="bg1"/>
                    </a:solidFill>
                  </a:rPr>
                  <a:t> wise </a:t>
                </a:r>
                <a:endParaRPr lang="en-US" b="1">
                  <a:solidFill>
                    <a:schemeClr val="bg1"/>
                  </a:solidFill>
                </a:endParaRPr>
              </a:p>
            </c:rich>
          </c:tx>
          <c:layout>
            <c:manualLayout>
              <c:xMode val="edge"/>
              <c:yMode val="edge"/>
              <c:x val="0.44757507286378684"/>
              <c:y val="0.89453922426363375"/>
            </c:manualLayout>
          </c:layout>
          <c:overlay val="0"/>
          <c:spPr>
            <a:solidFill>
              <a:schemeClr val="tx1"/>
            </a:solid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8233359"/>
        <c:crosses val="autoZero"/>
        <c:auto val="1"/>
        <c:lblAlgn val="ctr"/>
        <c:lblOffset val="100"/>
        <c:noMultiLvlLbl val="0"/>
      </c:catAx>
      <c:valAx>
        <c:axId val="57823335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new deaths</a:t>
                </a:r>
              </a:p>
            </c:rich>
          </c:tx>
          <c:layout>
            <c:manualLayout>
              <c:xMode val="edge"/>
              <c:yMode val="edge"/>
              <c:x val="7.7746246019982134E-3"/>
              <c:y val="0.3769601195683872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823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dashbord_complete.xlsx]PivotTables!PivotTable16</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country</a:t>
            </a:r>
            <a:r>
              <a:rPr lang="en-US" baseline="0"/>
              <a:t> wise case\1M</a:t>
            </a:r>
            <a:endParaRPr lang="en-US"/>
          </a:p>
        </c:rich>
      </c:tx>
      <c:layout>
        <c:manualLayout>
          <c:xMode val="edge"/>
          <c:yMode val="edge"/>
          <c:x val="0.48554855643044631"/>
          <c:y val="8.2385535141440668E-3"/>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24759405074366"/>
          <c:y val="0.13828484981044034"/>
          <c:w val="0.79819685039370081"/>
          <c:h val="0.53075094779819187"/>
        </c:manualLayout>
      </c:layout>
      <c:barChart>
        <c:barDir val="col"/>
        <c:grouping val="clustered"/>
        <c:varyColors val="0"/>
        <c:ser>
          <c:idx val="0"/>
          <c:order val="0"/>
          <c:tx>
            <c:strRef>
              <c:f>PivotTables!$Q$3</c:f>
              <c:strCache>
                <c:ptCount val="1"/>
                <c:pt idx="0">
                  <c:v>Total</c:v>
                </c:pt>
              </c:strCache>
            </c:strRef>
          </c:tx>
          <c:spPr>
            <a:solidFill>
              <a:schemeClr val="accent2">
                <a:lumMod val="60000"/>
                <a:lumOff val="40000"/>
              </a:schemeClr>
            </a:solidFill>
            <a:ln>
              <a:noFill/>
            </a:ln>
            <a:effectLst/>
          </c:spPr>
          <c:invertIfNegative val="0"/>
          <c:cat>
            <c:strRef>
              <c:f>PivotTables!$P$4:$P$14</c:f>
              <c:strCache>
                <c:ptCount val="10"/>
                <c:pt idx="0">
                  <c:v>Afghanistan</c:v>
                </c:pt>
                <c:pt idx="1">
                  <c:v>Argentina</c:v>
                </c:pt>
                <c:pt idx="2">
                  <c:v>Armenia</c:v>
                </c:pt>
                <c:pt idx="3">
                  <c:v>Brunei</c:v>
                </c:pt>
                <c:pt idx="4">
                  <c:v>Cambodia</c:v>
                </c:pt>
                <c:pt idx="5">
                  <c:v>Chad</c:v>
                </c:pt>
                <c:pt idx="6">
                  <c:v>China</c:v>
                </c:pt>
                <c:pt idx="7">
                  <c:v>Denmark</c:v>
                </c:pt>
                <c:pt idx="8">
                  <c:v>Israel</c:v>
                </c:pt>
                <c:pt idx="9">
                  <c:v>Spain</c:v>
                </c:pt>
              </c:strCache>
            </c:strRef>
          </c:cat>
          <c:val>
            <c:numRef>
              <c:f>PivotTables!$Q$4:$Q$14</c:f>
              <c:numCache>
                <c:formatCode>General</c:formatCode>
                <c:ptCount val="10"/>
                <c:pt idx="0">
                  <c:v>15194</c:v>
                </c:pt>
                <c:pt idx="1">
                  <c:v>13793</c:v>
                </c:pt>
                <c:pt idx="2">
                  <c:v>19165</c:v>
                </c:pt>
                <c:pt idx="3">
                  <c:v>39922</c:v>
                </c:pt>
                <c:pt idx="4">
                  <c:v>15769</c:v>
                </c:pt>
                <c:pt idx="5">
                  <c:v>16527</c:v>
                </c:pt>
                <c:pt idx="6">
                  <c:v>16378</c:v>
                </c:pt>
                <c:pt idx="7">
                  <c:v>25130</c:v>
                </c:pt>
                <c:pt idx="8">
                  <c:v>27146</c:v>
                </c:pt>
                <c:pt idx="9">
                  <c:v>20596</c:v>
                </c:pt>
              </c:numCache>
            </c:numRef>
          </c:val>
          <c:extLst>
            <c:ext xmlns:c16="http://schemas.microsoft.com/office/drawing/2014/chart" uri="{C3380CC4-5D6E-409C-BE32-E72D297353CC}">
              <c16:uniqueId val="{00000000-647E-4244-9128-C3B8B4906291}"/>
            </c:ext>
          </c:extLst>
        </c:ser>
        <c:dLbls>
          <c:showLegendKey val="0"/>
          <c:showVal val="0"/>
          <c:showCatName val="0"/>
          <c:showSerName val="0"/>
          <c:showPercent val="0"/>
          <c:showBubbleSize val="0"/>
        </c:dLbls>
        <c:gapWidth val="269"/>
        <c:overlap val="-20"/>
        <c:axId val="1137572271"/>
        <c:axId val="1137597231"/>
      </c:barChart>
      <c:catAx>
        <c:axId val="1137572271"/>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country wise</a:t>
                </a:r>
              </a:p>
            </c:rich>
          </c:tx>
          <c:layout>
            <c:manualLayout>
              <c:xMode val="edge"/>
              <c:yMode val="edge"/>
              <c:x val="0.51149868766404194"/>
              <c:y val="0.87139107611548561"/>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3175" cap="flat" cmpd="sng" algn="ctr">
            <a:gradFill flip="none" rotWithShape="1">
              <a:gsLst>
                <a:gs pos="0">
                  <a:schemeClr val="accent3">
                    <a:lumMod val="0"/>
                    <a:lumOff val="100000"/>
                  </a:schemeClr>
                </a:gs>
                <a:gs pos="64000">
                  <a:schemeClr val="accent3">
                    <a:lumMod val="0"/>
                    <a:lumOff val="100000"/>
                  </a:schemeClr>
                </a:gs>
                <a:gs pos="100000">
                  <a:schemeClr val="accent3">
                    <a:lumMod val="100000"/>
                  </a:schemeClr>
                </a:gs>
              </a:gsLst>
              <a:path path="circle">
                <a:fillToRect l="50000" t="-80000" r="50000" b="180000"/>
              </a:path>
              <a:tileRect/>
            </a:gradFill>
            <a:round/>
          </a:ln>
          <a:effectLst/>
        </c:spPr>
        <c:txPr>
          <a:bodyPr rot="-60000000" spcFirstLastPara="1" vertOverflow="ellipsis" vert="horz" wrap="square" anchor="ctr" anchorCtr="1"/>
          <a:lstStyle/>
          <a:p>
            <a:pPr>
              <a:defRPr sz="800" b="0" i="0" u="none" strike="noStrike" kern="1200" cap="all" spc="150" normalizeH="0" baseline="0">
                <a:solidFill>
                  <a:sysClr val="windowText" lastClr="000000"/>
                </a:solidFill>
                <a:latin typeface="+mn-lt"/>
                <a:ea typeface="+mn-ea"/>
                <a:cs typeface="+mn-cs"/>
              </a:defRPr>
            </a:pPr>
            <a:endParaRPr lang="en-US"/>
          </a:p>
        </c:txPr>
        <c:crossAx val="1137597231"/>
        <c:crosses val="autoZero"/>
        <c:auto val="1"/>
        <c:lblAlgn val="ctr"/>
        <c:lblOffset val="100"/>
        <c:noMultiLvlLbl val="0"/>
      </c:catAx>
      <c:valAx>
        <c:axId val="1137597231"/>
        <c:scaling>
          <c:orientation val="minMax"/>
        </c:scaling>
        <c:delete val="0"/>
        <c:axPos val="l"/>
        <c:majorGridlines>
          <c:spPr>
            <a:ln w="9525" cap="flat" cmpd="sng" algn="ctr">
              <a:solidFill>
                <a:schemeClr val="bg2">
                  <a:lumMod val="90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cases \1M</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3757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dashbord_complete.xlsx]PivotTables!PivotTable17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COUNTRY WISE DEATH</a:t>
            </a:r>
            <a:r>
              <a:rPr lang="en-US" baseline="0"/>
              <a:t> \1m</a:t>
            </a:r>
            <a:endParaRPr lang="en-US"/>
          </a:p>
        </c:rich>
      </c:tx>
      <c:layout>
        <c:manualLayout>
          <c:xMode val="edge"/>
          <c:yMode val="edge"/>
          <c:x val="0.66184339860743213"/>
          <c:y val="1.681214175439893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blipFill>
            <a:blip xmlns:r="http://schemas.openxmlformats.org/officeDocument/2006/relationships" r:embed="rId3"/>
            <a:tile tx="0" ty="0" sx="100000" sy="100000" flip="none" algn="tl"/>
          </a:blip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586132378613963"/>
          <c:y val="0.14856288929681544"/>
          <c:w val="0.64293027887643084"/>
          <c:h val="0.63359175535984891"/>
        </c:manualLayout>
      </c:layout>
      <c:barChart>
        <c:barDir val="bar"/>
        <c:grouping val="clustered"/>
        <c:varyColors val="0"/>
        <c:ser>
          <c:idx val="0"/>
          <c:order val="0"/>
          <c:tx>
            <c:strRef>
              <c:f>PivotTables!$T$3</c:f>
              <c:strCache>
                <c:ptCount val="1"/>
                <c:pt idx="0">
                  <c:v>Total</c:v>
                </c:pt>
              </c:strCache>
            </c:strRef>
          </c:tx>
          <c:spPr>
            <a:blipFill>
              <a:blip xmlns:r="http://schemas.openxmlformats.org/officeDocument/2006/relationships" r:embed="rId3"/>
              <a:tile tx="0" ty="0" sx="100000" sy="100000" flip="none" algn="tl"/>
            </a:blipFill>
            <a:ln>
              <a:noFill/>
            </a:ln>
            <a:effectLst/>
          </c:spPr>
          <c:invertIfNegative val="0"/>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PivotTables!$S$4:$S$14</c:f>
              <c:strCache>
                <c:ptCount val="10"/>
                <c:pt idx="0">
                  <c:v>Afghanistan</c:v>
                </c:pt>
                <c:pt idx="1">
                  <c:v>Argentina</c:v>
                </c:pt>
                <c:pt idx="2">
                  <c:v>Armenia</c:v>
                </c:pt>
                <c:pt idx="3">
                  <c:v>Austria</c:v>
                </c:pt>
                <c:pt idx="4">
                  <c:v>Bahamas</c:v>
                </c:pt>
                <c:pt idx="5">
                  <c:v>Belarus</c:v>
                </c:pt>
                <c:pt idx="6">
                  <c:v>Cabo Verde</c:v>
                </c:pt>
                <c:pt idx="7">
                  <c:v>Chile</c:v>
                </c:pt>
                <c:pt idx="8">
                  <c:v>Seychelles</c:v>
                </c:pt>
                <c:pt idx="9">
                  <c:v>Spain</c:v>
                </c:pt>
              </c:strCache>
            </c:strRef>
          </c:cat>
          <c:val>
            <c:numRef>
              <c:f>PivotTables!$T$4:$T$14</c:f>
              <c:numCache>
                <c:formatCode>General</c:formatCode>
                <c:ptCount val="10"/>
                <c:pt idx="0">
                  <c:v>492</c:v>
                </c:pt>
                <c:pt idx="1">
                  <c:v>619</c:v>
                </c:pt>
                <c:pt idx="2">
                  <c:v>517</c:v>
                </c:pt>
                <c:pt idx="3">
                  <c:v>610</c:v>
                </c:pt>
                <c:pt idx="4">
                  <c:v>683</c:v>
                </c:pt>
                <c:pt idx="5">
                  <c:v>582</c:v>
                </c:pt>
                <c:pt idx="6">
                  <c:v>571</c:v>
                </c:pt>
                <c:pt idx="7">
                  <c:v>850</c:v>
                </c:pt>
                <c:pt idx="8">
                  <c:v>673</c:v>
                </c:pt>
                <c:pt idx="9">
                  <c:v>1238</c:v>
                </c:pt>
              </c:numCache>
            </c:numRef>
          </c:val>
          <c:extLst>
            <c:ext xmlns:c16="http://schemas.microsoft.com/office/drawing/2014/chart" uri="{C3380CC4-5D6E-409C-BE32-E72D297353CC}">
              <c16:uniqueId val="{00000000-9374-4973-A30D-D821F75C924B}"/>
            </c:ext>
          </c:extLst>
        </c:ser>
        <c:dLbls>
          <c:showLegendKey val="0"/>
          <c:showVal val="0"/>
          <c:showCatName val="0"/>
          <c:showSerName val="0"/>
          <c:showPercent val="0"/>
          <c:showBubbleSize val="0"/>
        </c:dLbls>
        <c:gapWidth val="182"/>
        <c:axId val="1236832863"/>
        <c:axId val="1236838271"/>
      </c:barChart>
      <c:catAx>
        <c:axId val="12368328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COUNTRY</a:t>
                </a:r>
                <a:r>
                  <a:rPr lang="en-US" b="1" baseline="0"/>
                  <a:t> WISE</a:t>
                </a:r>
                <a:endParaRPr lang="en-US" b="1"/>
              </a:p>
            </c:rich>
          </c:tx>
          <c:layout>
            <c:manualLayout>
              <c:xMode val="edge"/>
              <c:yMode val="edge"/>
              <c:x val="0.1726471287863211"/>
              <c:y val="0.38316664733009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6838271"/>
        <c:crosses val="autoZero"/>
        <c:auto val="1"/>
        <c:lblAlgn val="ctr"/>
        <c:lblOffset val="100"/>
        <c:noMultiLvlLbl val="0"/>
      </c:catAx>
      <c:valAx>
        <c:axId val="1236838271"/>
        <c:scaling>
          <c:orientation val="minMax"/>
        </c:scaling>
        <c:delete val="0"/>
        <c:axPos val="b"/>
        <c:majorGridlines>
          <c:spPr>
            <a:ln w="9525" cap="flat" cmpd="sng" algn="ctr">
              <a:solidFill>
                <a:schemeClr val="accent5">
                  <a:lumMod val="60000"/>
                  <a:lumOff val="4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 \1M</a:t>
                </a:r>
              </a:p>
            </c:rich>
          </c:tx>
          <c:layout>
            <c:manualLayout>
              <c:xMode val="edge"/>
              <c:yMode val="edge"/>
              <c:x val="0.49869863041313384"/>
              <c:y val="0.918644038843022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683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dashbord_complete.xlsx]PivotTables!PivotTable18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REGION</a:t>
            </a:r>
            <a:r>
              <a:rPr lang="en-US" baseline="0"/>
              <a:t> WISE TEST\1M</a:t>
            </a:r>
            <a:endParaRPr lang="en-US"/>
          </a:p>
        </c:rich>
      </c:tx>
      <c:layout>
        <c:manualLayout>
          <c:xMode val="edge"/>
          <c:yMode val="edge"/>
          <c:x val="0.68374605746591677"/>
          <c:y val="9.0090090090090089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27488329391538"/>
          <c:y val="0.1732165472525436"/>
          <c:w val="0.82356268872421989"/>
          <c:h val="0.48833413988735702"/>
        </c:manualLayout>
      </c:layout>
      <c:areaChart>
        <c:grouping val="standard"/>
        <c:varyColors val="0"/>
        <c:ser>
          <c:idx val="0"/>
          <c:order val="0"/>
          <c:tx>
            <c:strRef>
              <c:f>PivotTables!$W$3</c:f>
              <c:strCache>
                <c:ptCount val="1"/>
                <c:pt idx="0">
                  <c:v>Total</c:v>
                </c:pt>
              </c:strCache>
            </c:strRef>
          </c:tx>
          <c:spPr>
            <a:solidFill>
              <a:schemeClr val="accent1"/>
            </a:solidFill>
            <a:ln>
              <a:solidFill>
                <a:srgbClr val="FFFF00"/>
              </a:solidFill>
            </a:ln>
            <a:effectLst/>
          </c:spPr>
          <c:cat>
            <c:strRef>
              <c:f>PivotTables!$V$4:$V$14</c:f>
              <c:strCache>
                <c:ptCount val="10"/>
                <c:pt idx="0">
                  <c:v>Comoros</c:v>
                </c:pt>
                <c:pt idx="1">
                  <c:v>Denmark</c:v>
                </c:pt>
                <c:pt idx="2">
                  <c:v>Kosovo</c:v>
                </c:pt>
                <c:pt idx="3">
                  <c:v>Panama</c:v>
                </c:pt>
                <c:pt idx="4">
                  <c:v>Serbia</c:v>
                </c:pt>
                <c:pt idx="5">
                  <c:v>Turkey</c:v>
                </c:pt>
                <c:pt idx="6">
                  <c:v>United Arab Emirates</c:v>
                </c:pt>
                <c:pt idx="7">
                  <c:v>United Kingdom</c:v>
                </c:pt>
                <c:pt idx="8">
                  <c:v>Venezuela</c:v>
                </c:pt>
                <c:pt idx="9">
                  <c:v>Zambia</c:v>
                </c:pt>
              </c:strCache>
            </c:strRef>
          </c:cat>
          <c:val>
            <c:numRef>
              <c:f>PivotTables!$W$4:$W$14</c:f>
              <c:numCache>
                <c:formatCode>General</c:formatCode>
                <c:ptCount val="10"/>
                <c:pt idx="0">
                  <c:v>531470</c:v>
                </c:pt>
                <c:pt idx="1">
                  <c:v>513691</c:v>
                </c:pt>
                <c:pt idx="2">
                  <c:v>995282</c:v>
                </c:pt>
                <c:pt idx="3">
                  <c:v>438385</c:v>
                </c:pt>
                <c:pt idx="4">
                  <c:v>309541</c:v>
                </c:pt>
                <c:pt idx="5">
                  <c:v>880590</c:v>
                </c:pt>
                <c:pt idx="6">
                  <c:v>472780</c:v>
                </c:pt>
                <c:pt idx="7">
                  <c:v>684565</c:v>
                </c:pt>
                <c:pt idx="8">
                  <c:v>423298</c:v>
                </c:pt>
                <c:pt idx="9">
                  <c:v>972982</c:v>
                </c:pt>
              </c:numCache>
            </c:numRef>
          </c:val>
          <c:extLst>
            <c:ext xmlns:c16="http://schemas.microsoft.com/office/drawing/2014/chart" uri="{C3380CC4-5D6E-409C-BE32-E72D297353CC}">
              <c16:uniqueId val="{00000000-E1A7-40C5-89AE-D99403CF2F1B}"/>
            </c:ext>
          </c:extLst>
        </c:ser>
        <c:dLbls>
          <c:showLegendKey val="0"/>
          <c:showVal val="0"/>
          <c:showCatName val="0"/>
          <c:showSerName val="0"/>
          <c:showPercent val="0"/>
          <c:showBubbleSize val="0"/>
        </c:dLbls>
        <c:axId val="1236840351"/>
        <c:axId val="1236818719"/>
      </c:areaChart>
      <c:catAx>
        <c:axId val="1236840351"/>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COUNTRY </a:t>
                </a:r>
              </a:p>
            </c:rich>
          </c:tx>
          <c:layout>
            <c:manualLayout>
              <c:xMode val="edge"/>
              <c:yMode val="edge"/>
              <c:x val="0.40376310345434324"/>
              <c:y val="0.9179953181527984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6818719"/>
        <c:crosses val="autoZero"/>
        <c:auto val="1"/>
        <c:lblAlgn val="ctr"/>
        <c:lblOffset val="100"/>
        <c:noMultiLvlLbl val="0"/>
      </c:catAx>
      <c:valAx>
        <c:axId val="1236818719"/>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TEST\1M</a:t>
                </a:r>
              </a:p>
            </c:rich>
          </c:tx>
          <c:layout>
            <c:manualLayout>
              <c:xMode val="edge"/>
              <c:yMode val="edge"/>
              <c:x val="1.5149273177749495E-2"/>
              <c:y val="0.32341952188408879"/>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6840351"/>
        <c:crosses val="autoZero"/>
        <c:crossBetween val="midCat"/>
      </c:valAx>
      <c:spPr>
        <a:solidFill>
          <a:schemeClr val="bg1">
            <a:lumMod val="85000"/>
          </a:schemeClr>
        </a:solidFill>
        <a:ln cmpd="dbl">
          <a:solidFill>
            <a:schemeClr val="bg1"/>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dashbord_complete.xlsx]PivotTables!PivotTable1</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REGION WISE DEATH</a:t>
            </a:r>
          </a:p>
        </c:rich>
      </c:tx>
      <c:layout>
        <c:manualLayout>
          <c:xMode val="edge"/>
          <c:yMode val="edge"/>
          <c:x val="0.65227777777777773"/>
          <c:y val="5.2185268386369865E-3"/>
        </c:manualLayout>
      </c:layout>
      <c:overlay val="0"/>
      <c:spPr>
        <a:noFill/>
        <a:ln>
          <a:noFill/>
        </a:ln>
        <a:effectLst/>
      </c:spPr>
    </c:title>
    <c:autoTitleDeleted val="0"/>
    <c:pivotFmts>
      <c:pivotFmt>
        <c:idx val="0"/>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5"/>
          </a:solidFill>
          <a:ln>
            <a:noFill/>
          </a:ln>
          <a:effectLst>
            <a:outerShdw blurRad="63500" sx="102000" sy="102000" algn="ctr" rotWithShape="0">
              <a:prstClr val="black">
                <a:alpha val="20000"/>
              </a:prstClr>
            </a:outerShdw>
          </a:effectLst>
        </c:spPr>
      </c:pivotFmt>
      <c:pivotFmt>
        <c:idx val="2"/>
        <c:spPr>
          <a:solidFill>
            <a:schemeClr val="accent1"/>
          </a:solidFill>
          <a:ln>
            <a:noFill/>
          </a:ln>
          <a:effectLst>
            <a:outerShdw blurRad="63500" sx="102000" sy="102000" algn="ctr" rotWithShape="0">
              <a:prstClr val="black">
                <a:alpha val="20000"/>
              </a:prstClr>
            </a:outerShdw>
          </a:effectLst>
        </c:spPr>
      </c:pivotFmt>
      <c:pivotFmt>
        <c:idx val="3"/>
        <c:spPr>
          <a:solidFill>
            <a:schemeClr val="accent5"/>
          </a:solidFill>
          <a:ln>
            <a:noFill/>
          </a:ln>
          <a:effectLst>
            <a:outerShdw blurRad="63500" sx="102000" sy="102000" algn="ctr" rotWithShape="0">
              <a:prstClr val="black">
                <a:alpha val="20000"/>
              </a:prstClr>
            </a:outerShdw>
          </a:effectLst>
        </c:spPr>
      </c:pivotFmt>
      <c:pivotFmt>
        <c:idx val="4"/>
        <c:spPr>
          <a:solidFill>
            <a:schemeClr val="accent3"/>
          </a:solidFill>
          <a:ln>
            <a:noFill/>
          </a:ln>
          <a:effectLst>
            <a:outerShdw blurRad="63500" sx="102000" sy="102000" algn="ctr" rotWithShape="0">
              <a:prstClr val="black">
                <a:alpha val="20000"/>
              </a:prstClr>
            </a:outerShdw>
          </a:effectLst>
        </c:spPr>
      </c:pivotFmt>
      <c:pivotFmt>
        <c:idx val="5"/>
        <c:spPr>
          <a:solidFill>
            <a:schemeClr val="accent2"/>
          </a:solidFill>
          <a:ln>
            <a:noFill/>
          </a:ln>
          <a:effectLst>
            <a:outerShdw blurRad="63500" sx="102000" sy="102000" algn="ctr" rotWithShape="0">
              <a:prstClr val="black">
                <a:alpha val="20000"/>
              </a:prstClr>
            </a:outerShdw>
          </a:effectLst>
        </c:spPr>
      </c:pivotFmt>
      <c:pivotFmt>
        <c:idx val="6"/>
        <c:spPr>
          <a:solidFill>
            <a:schemeClr val="accent4"/>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17008880139982502"/>
          <c:y val="0.16166585238472292"/>
          <c:w val="0.47648906386701662"/>
          <c:h val="0.83833414761527703"/>
        </c:manualLayout>
      </c:layout>
      <c:pieChart>
        <c:varyColors val="1"/>
        <c:ser>
          <c:idx val="0"/>
          <c:order val="0"/>
          <c:tx>
            <c:strRef>
              <c:f>PivotTables!$Z$3</c:f>
              <c:strCache>
                <c:ptCount val="1"/>
                <c:pt idx="0">
                  <c:v>Total</c:v>
                </c:pt>
              </c:strCache>
            </c:strRef>
          </c:tx>
          <c:explosion val="2"/>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AB5-406D-AAB3-A73A4E0C249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0AB5-406D-AAB3-A73A4E0C249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0AB5-406D-AAB3-A73A4E0C249F}"/>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0AB5-406D-AAB3-A73A4E0C249F}"/>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0AB5-406D-AAB3-A73A4E0C249F}"/>
              </c:ext>
            </c:extLst>
          </c:dPt>
          <c:dPt>
            <c:idx val="5"/>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0AB5-406D-AAB3-A73A4E0C249F}"/>
              </c:ext>
            </c:extLst>
          </c:dPt>
          <c:dLbls>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PivotTables!$Y$4:$Y$10</c:f>
              <c:strCache>
                <c:ptCount val="6"/>
                <c:pt idx="0">
                  <c:v>Africa</c:v>
                </c:pt>
                <c:pt idx="1">
                  <c:v>Americas</c:v>
                </c:pt>
                <c:pt idx="2">
                  <c:v>Eastern Mediterranean</c:v>
                </c:pt>
                <c:pt idx="3">
                  <c:v>Europe</c:v>
                </c:pt>
                <c:pt idx="4">
                  <c:v>South-East Asia</c:v>
                </c:pt>
                <c:pt idx="5">
                  <c:v>Western Pacific</c:v>
                </c:pt>
              </c:strCache>
            </c:strRef>
          </c:cat>
          <c:val>
            <c:numRef>
              <c:f>PivotTables!$Z$4:$Z$10</c:f>
              <c:numCache>
                <c:formatCode>General</c:formatCode>
                <c:ptCount val="6"/>
                <c:pt idx="0">
                  <c:v>100159</c:v>
                </c:pt>
                <c:pt idx="1">
                  <c:v>160371</c:v>
                </c:pt>
                <c:pt idx="2">
                  <c:v>169507</c:v>
                </c:pt>
                <c:pt idx="3">
                  <c:v>225320</c:v>
                </c:pt>
                <c:pt idx="4">
                  <c:v>43145</c:v>
                </c:pt>
                <c:pt idx="5">
                  <c:v>14495</c:v>
                </c:pt>
              </c:numCache>
            </c:numRef>
          </c:val>
          <c:extLst>
            <c:ext xmlns:c16="http://schemas.microsoft.com/office/drawing/2014/chart" uri="{C3380CC4-5D6E-409C-BE32-E72D297353CC}">
              <c16:uniqueId val="{00000000-0AB5-406D-AAB3-A73A4E0C249F}"/>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[covid 19 dashbord_complete.xlsx]PivotTables!PivotTable14</c:name>
    <c:fmtId val="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NEW</a:t>
            </a:r>
            <a:r>
              <a:rPr lang="en-US" sz="1600" b="1" baseline="0">
                <a:solidFill>
                  <a:schemeClr val="tx1"/>
                </a:solidFill>
              </a:rPr>
              <a:t> CASES PER MONTH</a:t>
            </a:r>
            <a:endParaRPr lang="en-US" sz="1600" b="1">
              <a:solidFill>
                <a:schemeClr val="tx1"/>
              </a:solidFill>
            </a:endParaRPr>
          </a:p>
        </c:rich>
      </c:tx>
      <c:layout>
        <c:manualLayout>
          <c:xMode val="edge"/>
          <c:yMode val="edge"/>
          <c:x val="0.70603848072709918"/>
          <c:y val="1.749781277340332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circle"/>
          <c:size val="5"/>
          <c:spPr>
            <a:solidFill>
              <a:schemeClr val="dk1">
                <a:tint val="88500"/>
              </a:schemeClr>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13315713864696"/>
          <c:y val="0.15680336832895886"/>
          <c:w val="0.74075309105189135"/>
          <c:h val="0.60255869058034417"/>
        </c:manualLayout>
      </c:layout>
      <c:lineChart>
        <c:grouping val="standard"/>
        <c:varyColors val="0"/>
        <c:ser>
          <c:idx val="0"/>
          <c:order val="0"/>
          <c:tx>
            <c:strRef>
              <c:f>PivotTables!$H$3</c:f>
              <c:strCache>
                <c:ptCount val="1"/>
                <c:pt idx="0">
                  <c:v>Total</c:v>
                </c:pt>
              </c:strCache>
            </c:strRef>
          </c:tx>
          <c:spPr>
            <a:ln w="28575" cap="rnd">
              <a:solidFill>
                <a:srgbClr val="002060"/>
              </a:solidFill>
              <a:round/>
            </a:ln>
            <a:effectLst/>
          </c:spPr>
          <c:marker>
            <c:symbol val="circle"/>
            <c:size val="5"/>
            <c:spPr>
              <a:solidFill>
                <a:schemeClr val="dk1">
                  <a:tint val="88500"/>
                </a:schemeClr>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PivotTables!$G$4:$G$11</c:f>
              <c:strCache>
                <c:ptCount val="7"/>
                <c:pt idx="0">
                  <c:v>Jan</c:v>
                </c:pt>
                <c:pt idx="1">
                  <c:v>Feb</c:v>
                </c:pt>
                <c:pt idx="2">
                  <c:v>Mar</c:v>
                </c:pt>
                <c:pt idx="3">
                  <c:v>Apr</c:v>
                </c:pt>
                <c:pt idx="4">
                  <c:v>May</c:v>
                </c:pt>
                <c:pt idx="5">
                  <c:v>Jun</c:v>
                </c:pt>
                <c:pt idx="6">
                  <c:v>Jul</c:v>
                </c:pt>
              </c:strCache>
            </c:strRef>
          </c:cat>
          <c:val>
            <c:numRef>
              <c:f>PivotTables!$H$4:$H$11</c:f>
              <c:numCache>
                <c:formatCode>General</c:formatCode>
                <c:ptCount val="7"/>
                <c:pt idx="0">
                  <c:v>9372</c:v>
                </c:pt>
                <c:pt idx="1">
                  <c:v>75379</c:v>
                </c:pt>
                <c:pt idx="2">
                  <c:v>786064</c:v>
                </c:pt>
                <c:pt idx="3">
                  <c:v>2412383</c:v>
                </c:pt>
                <c:pt idx="4">
                  <c:v>2921042</c:v>
                </c:pt>
                <c:pt idx="5">
                  <c:v>4265801</c:v>
                </c:pt>
                <c:pt idx="6">
                  <c:v>6030911</c:v>
                </c:pt>
              </c:numCache>
            </c:numRef>
          </c:val>
          <c:smooth val="0"/>
          <c:extLst>
            <c:ext xmlns:c16="http://schemas.microsoft.com/office/drawing/2014/chart" uri="{C3380CC4-5D6E-409C-BE32-E72D297353CC}">
              <c16:uniqueId val="{00000000-D299-4713-85BC-4EC98DB27098}"/>
            </c:ext>
          </c:extLst>
        </c:ser>
        <c:dLbls>
          <c:dLblPos val="t"/>
          <c:showLegendKey val="0"/>
          <c:showVal val="1"/>
          <c:showCatName val="0"/>
          <c:showSerName val="0"/>
          <c:showPercent val="0"/>
          <c:showBubbleSize val="0"/>
        </c:dLbls>
        <c:marker val="1"/>
        <c:smooth val="0"/>
        <c:axId val="580522927"/>
        <c:axId val="580517103"/>
      </c:lineChart>
      <c:catAx>
        <c:axId val="580522927"/>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  MONTH</a:t>
                </a:r>
              </a:p>
            </c:rich>
          </c:tx>
          <c:layout>
            <c:manualLayout>
              <c:xMode val="edge"/>
              <c:yMode val="edge"/>
              <c:x val="0.47749368266308773"/>
              <c:y val="0.8839058890093828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517103"/>
        <c:crosses val="autoZero"/>
        <c:auto val="1"/>
        <c:lblAlgn val="ctr"/>
        <c:lblOffset val="100"/>
        <c:noMultiLvlLbl val="0"/>
      </c:catAx>
      <c:valAx>
        <c:axId val="580517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new cases</a:t>
                </a:r>
              </a:p>
              <a:p>
                <a:pPr>
                  <a:defRPr sz="1200" b="1">
                    <a:solidFill>
                      <a:schemeClr val="tx1"/>
                    </a:solidFill>
                  </a:defRPr>
                </a:pPr>
                <a:endParaRPr lang="en-US" sz="1200" b="1">
                  <a:solidFill>
                    <a:schemeClr val="tx1"/>
                  </a:solidFill>
                </a:endParaRP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52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dashbord_complete.xlsx]PivotTables!PivotTable15</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US" sz="1600" b="1" i="0" u="none" strike="noStrike" cap="all" normalizeH="0" baseline="0"/>
              <a:t>Monthly Deaths Trend</a:t>
            </a:r>
            <a:endParaRPr lang="en-US" sz="1600">
              <a:solidFill>
                <a:schemeClr val="tx1"/>
              </a:solidFill>
            </a:endParaRPr>
          </a:p>
        </c:rich>
      </c:tx>
      <c:layout>
        <c:manualLayout>
          <c:xMode val="edge"/>
          <c:yMode val="edge"/>
          <c:x val="0.69318215501036073"/>
          <c:y val="1.749781277340332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rgbClr val="FF0000"/>
            </a:solidFill>
            <a:round/>
          </a:ln>
          <a:effectLst/>
        </c:spPr>
        <c:marker>
          <c:symbol val="diamond"/>
          <c:size val="6"/>
          <c:spPr>
            <a:solidFill>
              <a:schemeClr val="accent1"/>
            </a:solidFill>
            <a:ln w="9525">
              <a:solidFill>
                <a:srgbClr val="FF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91426071741033"/>
          <c:y val="0.19485892388451448"/>
          <c:w val="0.81053018372703411"/>
          <c:h val="0.60616980169145529"/>
        </c:manualLayout>
      </c:layout>
      <c:lineChart>
        <c:grouping val="standard"/>
        <c:varyColors val="0"/>
        <c:ser>
          <c:idx val="0"/>
          <c:order val="0"/>
          <c:tx>
            <c:strRef>
              <c:f>PivotTables!$M$3</c:f>
              <c:strCache>
                <c:ptCount val="1"/>
                <c:pt idx="0">
                  <c:v>Total</c:v>
                </c:pt>
              </c:strCache>
            </c:strRef>
          </c:tx>
          <c:spPr>
            <a:ln w="22225" cap="rnd">
              <a:solidFill>
                <a:srgbClr val="FF0000"/>
              </a:solidFill>
              <a:round/>
            </a:ln>
            <a:effectLst/>
          </c:spPr>
          <c:marker>
            <c:symbol val="diamond"/>
            <c:size val="6"/>
            <c:spPr>
              <a:solidFill>
                <a:schemeClr val="accent1"/>
              </a:solidFill>
              <a:ln w="9525">
                <a:solidFill>
                  <a:srgbClr val="FF000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PivotTables!$L$4:$L$11</c:f>
              <c:strCache>
                <c:ptCount val="7"/>
                <c:pt idx="0">
                  <c:v>Jan</c:v>
                </c:pt>
                <c:pt idx="1">
                  <c:v>Feb</c:v>
                </c:pt>
                <c:pt idx="2">
                  <c:v>Mar</c:v>
                </c:pt>
                <c:pt idx="3">
                  <c:v>Apr</c:v>
                </c:pt>
                <c:pt idx="4">
                  <c:v>May</c:v>
                </c:pt>
                <c:pt idx="5">
                  <c:v>Jun</c:v>
                </c:pt>
                <c:pt idx="6">
                  <c:v>Jul</c:v>
                </c:pt>
              </c:strCache>
            </c:strRef>
          </c:cat>
          <c:val>
            <c:numRef>
              <c:f>PivotTables!$M$4:$M$11</c:f>
              <c:numCache>
                <c:formatCode>General</c:formatCode>
                <c:ptCount val="7"/>
                <c:pt idx="0">
                  <c:v>196</c:v>
                </c:pt>
                <c:pt idx="1">
                  <c:v>2723</c:v>
                </c:pt>
                <c:pt idx="2">
                  <c:v>41542</c:v>
                </c:pt>
                <c:pt idx="3">
                  <c:v>190226</c:v>
                </c:pt>
                <c:pt idx="4">
                  <c:v>138902</c:v>
                </c:pt>
                <c:pt idx="5">
                  <c:v>137604</c:v>
                </c:pt>
                <c:pt idx="6">
                  <c:v>142826</c:v>
                </c:pt>
              </c:numCache>
            </c:numRef>
          </c:val>
          <c:smooth val="0"/>
          <c:extLst>
            <c:ext xmlns:c16="http://schemas.microsoft.com/office/drawing/2014/chart" uri="{C3380CC4-5D6E-409C-BE32-E72D297353CC}">
              <c16:uniqueId val="{00000000-8B58-4D98-8C40-FE7129451557}"/>
            </c:ext>
          </c:extLst>
        </c:ser>
        <c:dLbls>
          <c:dLblPos val="t"/>
          <c:showLegendKey val="0"/>
          <c:showVal val="1"/>
          <c:showCatName val="0"/>
          <c:showSerName val="0"/>
          <c:showPercent val="0"/>
          <c:showBubbleSize val="0"/>
        </c:dLbls>
        <c:marker val="1"/>
        <c:smooth val="0"/>
        <c:axId val="578232111"/>
        <c:axId val="578233359"/>
      </c:lineChart>
      <c:catAx>
        <c:axId val="578232111"/>
        <c:scaling>
          <c:orientation val="minMax"/>
        </c:scaling>
        <c:delete val="0"/>
        <c:axPos val="b"/>
        <c:title>
          <c:tx>
            <c:rich>
              <a:bodyPr rot="0" spcFirstLastPara="1" vertOverflow="ellipsis" vert="horz" wrap="square" anchor="ctr" anchorCtr="1"/>
              <a:lstStyle/>
              <a:p>
                <a:pPr>
                  <a:defRPr sz="1200" b="1" i="0" u="none" strike="noStrike" kern="1200" cap="all" baseline="0">
                    <a:solidFill>
                      <a:schemeClr val="tx1"/>
                    </a:solidFill>
                    <a:latin typeface="+mn-lt"/>
                    <a:ea typeface="+mn-ea"/>
                    <a:cs typeface="+mn-cs"/>
                  </a:defRPr>
                </a:pPr>
                <a:r>
                  <a:rPr lang="en-US" sz="1200" b="1">
                    <a:solidFill>
                      <a:schemeClr val="tx1"/>
                    </a:solidFill>
                  </a:rPr>
                  <a:t>month  </a:t>
                </a:r>
              </a:p>
            </c:rich>
          </c:tx>
          <c:layout>
            <c:manualLayout>
              <c:xMode val="edge"/>
              <c:yMode val="edge"/>
              <c:x val="0.44757507286378684"/>
              <c:y val="0.89453922426363375"/>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78233359"/>
        <c:crosses val="autoZero"/>
        <c:auto val="1"/>
        <c:lblAlgn val="ctr"/>
        <c:lblOffset val="100"/>
        <c:noMultiLvlLbl val="0"/>
      </c:catAx>
      <c:valAx>
        <c:axId val="578233359"/>
        <c:scaling>
          <c:orientation val="minMax"/>
        </c:scaling>
        <c:delete val="0"/>
        <c:axPos val="l"/>
        <c:title>
          <c:tx>
            <c:rich>
              <a:bodyPr rot="-5400000" spcFirstLastPara="1" vertOverflow="ellipsis" vert="horz" wrap="square" anchor="ctr" anchorCtr="1"/>
              <a:lstStyle/>
              <a:p>
                <a:pPr>
                  <a:defRPr sz="1200" b="1" i="0" u="none" strike="noStrike" kern="1200" cap="all" baseline="0">
                    <a:solidFill>
                      <a:schemeClr val="tx1"/>
                    </a:solidFill>
                    <a:latin typeface="+mn-lt"/>
                    <a:ea typeface="+mn-ea"/>
                    <a:cs typeface="+mn-cs"/>
                  </a:defRPr>
                </a:pPr>
                <a:r>
                  <a:rPr lang="en-US" sz="1200" b="1">
                    <a:solidFill>
                      <a:schemeClr val="tx1"/>
                    </a:solidFill>
                  </a:rPr>
                  <a:t>new deaths</a:t>
                </a:r>
              </a:p>
            </c:rich>
          </c:tx>
          <c:layout>
            <c:manualLayout>
              <c:xMode val="edge"/>
              <c:yMode val="edge"/>
              <c:x val="7.7746246019982134E-3"/>
              <c:y val="0.37696011956838726"/>
            </c:manualLayout>
          </c:layout>
          <c:overlay val="0"/>
          <c:spPr>
            <a:noFill/>
            <a:ln>
              <a:noFill/>
            </a:ln>
            <a:effectLst/>
          </c:spPr>
          <c:txPr>
            <a:bodyPr rot="-5400000" spcFirstLastPara="1" vertOverflow="ellipsis" vert="horz" wrap="square" anchor="ctr" anchorCtr="1"/>
            <a:lstStyle/>
            <a:p>
              <a:pPr>
                <a:defRPr sz="12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23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dashbord_complete.xlsx]PivotTables!PivotTable16</c:name>
    <c:fmtId val="3"/>
  </c:pivotSource>
  <c:chart>
    <c:title>
      <c:tx>
        <c:rich>
          <a:bodyPr rot="0" spcFirstLastPara="1" vertOverflow="ellipsis" vert="horz" wrap="square" anchor="ctr" anchorCtr="1"/>
          <a:lstStyle/>
          <a:p>
            <a:pPr>
              <a:defRPr sz="1600" b="1" i="0" u="none" strike="noStrike" kern="1200" cap="none" spc="0" normalizeH="0" baseline="0">
                <a:ln w="0"/>
                <a:solidFill>
                  <a:schemeClr val="tx1"/>
                </a:solidFill>
                <a:effectLst>
                  <a:outerShdw blurRad="38100" dist="25400" dir="5400000" algn="ctr" rotWithShape="0">
                    <a:srgbClr val="6E747A">
                      <a:alpha val="43000"/>
                    </a:srgbClr>
                  </a:outerShdw>
                </a:effectLst>
                <a:latin typeface="+mn-lt"/>
                <a:ea typeface="+mn-ea"/>
                <a:cs typeface="+mn-cs"/>
              </a:defRPr>
            </a:pPr>
            <a:r>
              <a:rPr lang="en-US" sz="1600" b="1" i="0" u="none" strike="noStrike" cap="none" normalizeH="0" baseline="0">
                <a:effectLst>
                  <a:outerShdw blurRad="38100" dist="25400" dir="5400000" algn="ctr" rotWithShape="0">
                    <a:srgbClr val="6E747A">
                      <a:alpha val="43000"/>
                    </a:srgbClr>
                  </a:outerShdw>
                </a:effectLst>
              </a:rPr>
              <a:t>Cases per 1 Million by Country</a:t>
            </a:r>
            <a:endParaRPr lang="en-US" sz="1600" b="1" cap="none" spc="0">
              <a:ln w="0"/>
              <a:solidFill>
                <a:schemeClr val="tx1"/>
              </a:solidFill>
              <a:effectLst>
                <a:outerShdw blurRad="38100" dist="25400" dir="5400000" algn="ctr" rotWithShape="0">
                  <a:srgbClr val="6E747A">
                    <a:alpha val="43000"/>
                  </a:srgbClr>
                </a:outerShdw>
              </a:effectLst>
            </a:endParaRPr>
          </a:p>
        </c:rich>
      </c:tx>
      <c:layout>
        <c:manualLayout>
          <c:xMode val="edge"/>
          <c:yMode val="edge"/>
          <c:x val="0.58788782981074739"/>
          <c:y val="1.2511945622181841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ln w="0"/>
              <a:solidFill>
                <a:schemeClr val="tx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24759405074366"/>
          <c:y val="0.13828484981044034"/>
          <c:w val="0.79819685039370081"/>
          <c:h val="0.53075094779819187"/>
        </c:manualLayout>
      </c:layout>
      <c:barChart>
        <c:barDir val="col"/>
        <c:grouping val="clustered"/>
        <c:varyColors val="0"/>
        <c:ser>
          <c:idx val="0"/>
          <c:order val="0"/>
          <c:tx>
            <c:strRef>
              <c:f>PivotTables!$Q$3</c:f>
              <c:strCache>
                <c:ptCount val="1"/>
                <c:pt idx="0">
                  <c:v>Total</c:v>
                </c:pt>
              </c:strCache>
            </c:strRef>
          </c:tx>
          <c:spPr>
            <a:solidFill>
              <a:schemeClr val="accent2">
                <a:lumMod val="60000"/>
                <a:lumOff val="40000"/>
              </a:schemeClr>
            </a:solidFill>
            <a:ln>
              <a:noFill/>
            </a:ln>
            <a:effectLst/>
          </c:spPr>
          <c:invertIfNegative val="0"/>
          <c:cat>
            <c:strRef>
              <c:f>PivotTables!$P$4:$P$14</c:f>
              <c:strCache>
                <c:ptCount val="10"/>
                <c:pt idx="0">
                  <c:v>Afghanistan</c:v>
                </c:pt>
                <c:pt idx="1">
                  <c:v>Argentina</c:v>
                </c:pt>
                <c:pt idx="2">
                  <c:v>Armenia</c:v>
                </c:pt>
                <c:pt idx="3">
                  <c:v>Brunei</c:v>
                </c:pt>
                <c:pt idx="4">
                  <c:v>Cambodia</c:v>
                </c:pt>
                <c:pt idx="5">
                  <c:v>Chad</c:v>
                </c:pt>
                <c:pt idx="6">
                  <c:v>China</c:v>
                </c:pt>
                <c:pt idx="7">
                  <c:v>Denmark</c:v>
                </c:pt>
                <c:pt idx="8">
                  <c:v>Israel</c:v>
                </c:pt>
                <c:pt idx="9">
                  <c:v>Spain</c:v>
                </c:pt>
              </c:strCache>
            </c:strRef>
          </c:cat>
          <c:val>
            <c:numRef>
              <c:f>PivotTables!$Q$4:$Q$14</c:f>
              <c:numCache>
                <c:formatCode>General</c:formatCode>
                <c:ptCount val="10"/>
                <c:pt idx="0">
                  <c:v>15194</c:v>
                </c:pt>
                <c:pt idx="1">
                  <c:v>13793</c:v>
                </c:pt>
                <c:pt idx="2">
                  <c:v>19165</c:v>
                </c:pt>
                <c:pt idx="3">
                  <c:v>39922</c:v>
                </c:pt>
                <c:pt idx="4">
                  <c:v>15769</c:v>
                </c:pt>
                <c:pt idx="5">
                  <c:v>16527</c:v>
                </c:pt>
                <c:pt idx="6">
                  <c:v>16378</c:v>
                </c:pt>
                <c:pt idx="7">
                  <c:v>25130</c:v>
                </c:pt>
                <c:pt idx="8">
                  <c:v>27146</c:v>
                </c:pt>
                <c:pt idx="9">
                  <c:v>20596</c:v>
                </c:pt>
              </c:numCache>
            </c:numRef>
          </c:val>
          <c:extLst>
            <c:ext xmlns:c16="http://schemas.microsoft.com/office/drawing/2014/chart" uri="{C3380CC4-5D6E-409C-BE32-E72D297353CC}">
              <c16:uniqueId val="{00000000-5127-45B8-9C6D-3BDB6EFDC699}"/>
            </c:ext>
          </c:extLst>
        </c:ser>
        <c:dLbls>
          <c:showLegendKey val="0"/>
          <c:showVal val="0"/>
          <c:showCatName val="0"/>
          <c:showSerName val="0"/>
          <c:showPercent val="0"/>
          <c:showBubbleSize val="0"/>
        </c:dLbls>
        <c:gapWidth val="269"/>
        <c:overlap val="-20"/>
        <c:axId val="1137572271"/>
        <c:axId val="1137597231"/>
      </c:barChart>
      <c:catAx>
        <c:axId val="1137572271"/>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solidFill>
                      <a:schemeClr val="tx1"/>
                    </a:solidFill>
                  </a:rPr>
                  <a:t>COUNTRY</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3175" cap="flat" cmpd="sng" algn="ctr">
            <a:gradFill flip="none" rotWithShape="1">
              <a:gsLst>
                <a:gs pos="0">
                  <a:schemeClr val="accent3">
                    <a:lumMod val="0"/>
                    <a:lumOff val="100000"/>
                  </a:schemeClr>
                </a:gs>
                <a:gs pos="64000">
                  <a:schemeClr val="accent3">
                    <a:lumMod val="0"/>
                    <a:lumOff val="100000"/>
                  </a:schemeClr>
                </a:gs>
                <a:gs pos="100000">
                  <a:schemeClr val="accent3">
                    <a:lumMod val="100000"/>
                  </a:schemeClr>
                </a:gs>
              </a:gsLst>
              <a:path path="circle">
                <a:fillToRect l="50000" t="-80000" r="50000" b="180000"/>
              </a:path>
              <a:tileRect/>
            </a:gradFill>
            <a:round/>
          </a:ln>
          <a:effectLst/>
        </c:spPr>
        <c:txPr>
          <a:bodyPr rot="-60000000" spcFirstLastPara="1" vertOverflow="ellipsis" vert="horz" wrap="square" anchor="ctr" anchorCtr="1"/>
          <a:lstStyle/>
          <a:p>
            <a:pPr>
              <a:defRPr sz="800" b="0" i="0" u="none" strike="noStrike" kern="1200" cap="all" spc="150" normalizeH="0" baseline="0">
                <a:solidFill>
                  <a:sysClr val="windowText" lastClr="000000"/>
                </a:solidFill>
                <a:latin typeface="+mn-lt"/>
                <a:ea typeface="+mn-ea"/>
                <a:cs typeface="+mn-cs"/>
              </a:defRPr>
            </a:pPr>
            <a:endParaRPr lang="en-US"/>
          </a:p>
        </c:txPr>
        <c:crossAx val="1137597231"/>
        <c:crosses val="autoZero"/>
        <c:auto val="1"/>
        <c:lblAlgn val="ctr"/>
        <c:lblOffset val="100"/>
        <c:noMultiLvlLbl val="0"/>
      </c:catAx>
      <c:valAx>
        <c:axId val="1137597231"/>
        <c:scaling>
          <c:orientation val="minMax"/>
        </c:scaling>
        <c:delete val="0"/>
        <c:axPos val="l"/>
        <c:majorGridlines>
          <c:spPr>
            <a:ln w="9525" cap="flat" cmpd="sng" algn="ctr">
              <a:solidFill>
                <a:schemeClr val="bg2">
                  <a:lumMod val="90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a:solidFill>
                      <a:sysClr val="windowText" lastClr="000000"/>
                    </a:solidFill>
                  </a:rPr>
                  <a:t>cases \1M</a:t>
                </a: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3757227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dashbord_complete.xlsx]PivotTables!PivotTable17</c:name>
    <c:fmtId val="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 </a:t>
            </a:r>
            <a:r>
              <a:rPr lang="en-US" sz="1600" b="1" i="0" u="none" strike="noStrike" baseline="0"/>
              <a:t>Deaths per 1 Million by Country</a:t>
            </a:r>
            <a:endParaRPr lang="en-US" sz="1600" b="1">
              <a:solidFill>
                <a:schemeClr val="tx1"/>
              </a:solidFill>
            </a:endParaRPr>
          </a:p>
        </c:rich>
      </c:tx>
      <c:layout>
        <c:manualLayout>
          <c:xMode val="edge"/>
          <c:yMode val="edge"/>
          <c:x val="0.66184339860743213"/>
          <c:y val="1.6812141754398938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blipFill>
            <a:blip xmlns:r="http://schemas.openxmlformats.org/officeDocument/2006/relationships" r:embed="rId3"/>
            <a:tile tx="0" ty="0" sx="100000" sy="100000" flip="none" algn="tl"/>
          </a:blip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tile tx="0" ty="0" sx="100000" sy="100000" flip="none" algn="tl"/>
          </a:blip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solidFill>
              <a:schemeClr val="accent3">
                <a:lumMod val="75000"/>
              </a:schemeClr>
            </a:solid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133519778150705"/>
          <c:y val="0.14856288929681544"/>
          <c:w val="0.62967059700789374"/>
          <c:h val="0.63359175535984891"/>
        </c:manualLayout>
      </c:layout>
      <c:barChart>
        <c:barDir val="bar"/>
        <c:grouping val="clustered"/>
        <c:varyColors val="0"/>
        <c:ser>
          <c:idx val="0"/>
          <c:order val="0"/>
          <c:tx>
            <c:strRef>
              <c:f>PivotTables!$T$3</c:f>
              <c:strCache>
                <c:ptCount val="1"/>
                <c:pt idx="0">
                  <c:v>Total</c:v>
                </c:pt>
              </c:strCache>
            </c:strRef>
          </c:tx>
          <c:spPr>
            <a:solidFill>
              <a:schemeClr val="bg2">
                <a:lumMod val="50000"/>
              </a:schemeClr>
            </a:solidFill>
            <a:ln>
              <a:solidFill>
                <a:schemeClr val="accent3">
                  <a:lumMod val="75000"/>
                </a:schemeClr>
              </a:solidFill>
            </a:ln>
            <a:effectLst/>
          </c:spPr>
          <c:invertIfNegative val="0"/>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PivotTables!$S$4:$S$14</c:f>
              <c:strCache>
                <c:ptCount val="10"/>
                <c:pt idx="0">
                  <c:v>Afghanistan</c:v>
                </c:pt>
                <c:pt idx="1">
                  <c:v>Argentina</c:v>
                </c:pt>
                <c:pt idx="2">
                  <c:v>Armenia</c:v>
                </c:pt>
                <c:pt idx="3">
                  <c:v>Austria</c:v>
                </c:pt>
                <c:pt idx="4">
                  <c:v>Bahamas</c:v>
                </c:pt>
                <c:pt idx="5">
                  <c:v>Belarus</c:v>
                </c:pt>
                <c:pt idx="6">
                  <c:v>Cabo Verde</c:v>
                </c:pt>
                <c:pt idx="7">
                  <c:v>Chile</c:v>
                </c:pt>
                <c:pt idx="8">
                  <c:v>Seychelles</c:v>
                </c:pt>
                <c:pt idx="9">
                  <c:v>Spain</c:v>
                </c:pt>
              </c:strCache>
            </c:strRef>
          </c:cat>
          <c:val>
            <c:numRef>
              <c:f>PivotTables!$T$4:$T$14</c:f>
              <c:numCache>
                <c:formatCode>General</c:formatCode>
                <c:ptCount val="10"/>
                <c:pt idx="0">
                  <c:v>492</c:v>
                </c:pt>
                <c:pt idx="1">
                  <c:v>619</c:v>
                </c:pt>
                <c:pt idx="2">
                  <c:v>517</c:v>
                </c:pt>
                <c:pt idx="3">
                  <c:v>610</c:v>
                </c:pt>
                <c:pt idx="4">
                  <c:v>683</c:v>
                </c:pt>
                <c:pt idx="5">
                  <c:v>582</c:v>
                </c:pt>
                <c:pt idx="6">
                  <c:v>571</c:v>
                </c:pt>
                <c:pt idx="7">
                  <c:v>850</c:v>
                </c:pt>
                <c:pt idx="8">
                  <c:v>673</c:v>
                </c:pt>
                <c:pt idx="9">
                  <c:v>1238</c:v>
                </c:pt>
              </c:numCache>
            </c:numRef>
          </c:val>
          <c:extLst>
            <c:ext xmlns:c16="http://schemas.microsoft.com/office/drawing/2014/chart" uri="{C3380CC4-5D6E-409C-BE32-E72D297353CC}">
              <c16:uniqueId val="{00000000-8F14-45C1-B622-D3A9D98BCB07}"/>
            </c:ext>
          </c:extLst>
        </c:ser>
        <c:dLbls>
          <c:showLegendKey val="0"/>
          <c:showVal val="0"/>
          <c:showCatName val="0"/>
          <c:showSerName val="0"/>
          <c:showPercent val="0"/>
          <c:showBubbleSize val="0"/>
        </c:dLbls>
        <c:gapWidth val="182"/>
        <c:axId val="1236832863"/>
        <c:axId val="1236838271"/>
      </c:barChart>
      <c:catAx>
        <c:axId val="1236832863"/>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COUNTRY</a:t>
                </a:r>
              </a:p>
            </c:rich>
          </c:tx>
          <c:layout>
            <c:manualLayout>
              <c:xMode val="edge"/>
              <c:yMode val="edge"/>
              <c:x val="3.116506620875863E-2"/>
              <c:y val="0.2346286472545110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6838271"/>
        <c:crosses val="autoZero"/>
        <c:auto val="1"/>
        <c:lblAlgn val="ctr"/>
        <c:lblOffset val="100"/>
        <c:noMultiLvlLbl val="0"/>
      </c:catAx>
      <c:valAx>
        <c:axId val="1236838271"/>
        <c:scaling>
          <c:orientation val="minMax"/>
        </c:scaling>
        <c:delete val="0"/>
        <c:axPos val="b"/>
        <c:majorGridlines>
          <c:spPr>
            <a:ln w="9525" cap="flat" cmpd="sng" algn="ctr">
              <a:solidFill>
                <a:schemeClr val="accent5">
                  <a:lumMod val="60000"/>
                  <a:lumOff val="40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DEATH \1M</a:t>
                </a:r>
              </a:p>
            </c:rich>
          </c:tx>
          <c:layout>
            <c:manualLayout>
              <c:xMode val="edge"/>
              <c:yMode val="edge"/>
              <c:x val="0.49869863041313384"/>
              <c:y val="0.918644038843022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683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dashbord_complete.xlsx]PivotTables!PivotTable1</c:name>
    <c:fmtId val="7"/>
  </c:pivotSource>
  <c:chart>
    <c:title>
      <c:tx>
        <c:rich>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r>
              <a:rPr lang="en-US" sz="1600" b="1" i="0" u="none" strike="noStrike" cap="all" baseline="0"/>
              <a:t>Deaths by Region</a:t>
            </a:r>
            <a:endParaRPr lang="en-US" sz="1600">
              <a:solidFill>
                <a:schemeClr val="tx1"/>
              </a:solidFill>
            </a:endParaRPr>
          </a:p>
        </c:rich>
      </c:tx>
      <c:layout>
        <c:manualLayout>
          <c:xMode val="edge"/>
          <c:yMode val="edge"/>
          <c:x val="0.56693715194908512"/>
          <c:y val="5.2185415373650493E-3"/>
        </c:manualLayout>
      </c:layout>
      <c:overlay val="0"/>
      <c:spPr>
        <a:noFill/>
        <a:ln>
          <a:noFill/>
        </a:ln>
        <a:effectLst/>
      </c:spPr>
    </c:title>
    <c:autoTitleDeleted val="0"/>
    <c:pivotFmts>
      <c:pivotFmt>
        <c:idx val="0"/>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5"/>
          </a:solidFill>
          <a:ln>
            <a:noFill/>
          </a:ln>
          <a:effectLst>
            <a:outerShdw blurRad="63500" sx="102000" sy="102000" algn="ctr" rotWithShape="0">
              <a:prstClr val="black">
                <a:alpha val="20000"/>
              </a:prstClr>
            </a:outerShdw>
          </a:effectLst>
        </c:spPr>
      </c:pivotFmt>
      <c:pivotFmt>
        <c:idx val="2"/>
        <c:spPr>
          <a:solidFill>
            <a:schemeClr val="accent1"/>
          </a:solidFill>
          <a:ln>
            <a:noFill/>
          </a:ln>
          <a:effectLst>
            <a:outerShdw blurRad="63500" sx="102000" sy="102000" algn="ctr" rotWithShape="0">
              <a:prstClr val="black">
                <a:alpha val="20000"/>
              </a:prstClr>
            </a:outerShdw>
          </a:effectLst>
        </c:spPr>
      </c:pivotFmt>
      <c:pivotFmt>
        <c:idx val="3"/>
        <c:spPr>
          <a:solidFill>
            <a:schemeClr val="accent6"/>
          </a:solidFill>
          <a:ln>
            <a:noFill/>
          </a:ln>
          <a:effectLst>
            <a:outerShdw blurRad="63500" sx="102000" sy="102000" algn="ctr" rotWithShape="0">
              <a:prstClr val="black">
                <a:alpha val="20000"/>
              </a:prstClr>
            </a:outerShdw>
          </a:effectLst>
        </c:spPr>
      </c:pivotFmt>
      <c:pivotFmt>
        <c:idx val="4"/>
        <c:spPr>
          <a:solidFill>
            <a:schemeClr val="accent3"/>
          </a:solidFill>
          <a:ln>
            <a:noFill/>
          </a:ln>
          <a:effectLst>
            <a:outerShdw blurRad="63500" sx="102000" sy="102000" algn="ctr" rotWithShape="0">
              <a:prstClr val="black">
                <a:alpha val="20000"/>
              </a:prstClr>
            </a:outerShdw>
          </a:effectLst>
        </c:spPr>
      </c:pivotFmt>
      <c:pivotFmt>
        <c:idx val="5"/>
        <c:spPr>
          <a:solidFill>
            <a:schemeClr val="accent2"/>
          </a:solidFill>
          <a:ln>
            <a:noFill/>
          </a:ln>
          <a:effectLst>
            <a:outerShdw blurRad="63500" sx="102000" sy="102000" algn="ctr" rotWithShape="0">
              <a:prstClr val="black">
                <a:alpha val="20000"/>
              </a:prstClr>
            </a:outerShdw>
          </a:effectLst>
        </c:spPr>
      </c:pivotFmt>
      <c:pivotFmt>
        <c:idx val="6"/>
        <c:spPr>
          <a:solidFill>
            <a:schemeClr val="accent4"/>
          </a:solidFill>
          <a:ln>
            <a:noFill/>
          </a:ln>
          <a:effectLst>
            <a:outerShdw blurRad="63500" sx="102000" sy="102000" algn="ctr" rotWithShape="0">
              <a:prstClr val="black">
                <a:alpha val="20000"/>
              </a:prstClr>
            </a:outerShdw>
          </a:effectLst>
        </c:spPr>
      </c:pivotFmt>
      <c:pivotFmt>
        <c:idx val="7"/>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a:noFill/>
          </a:ln>
          <a:effectLst>
            <a:outerShdw blurRad="63500" sx="102000" sy="102000" algn="ctr" rotWithShape="0">
              <a:prstClr val="black">
                <a:alpha val="20000"/>
              </a:prstClr>
            </a:outerShdw>
          </a:effectLst>
        </c:spPr>
      </c:pivotFmt>
      <c:pivotFmt>
        <c:idx val="9"/>
        <c:spPr>
          <a:solidFill>
            <a:schemeClr val="accent2"/>
          </a:solidFill>
          <a:ln>
            <a:noFill/>
          </a:ln>
          <a:effectLst>
            <a:outerShdw blurRad="63500" sx="102000" sy="102000" algn="ctr" rotWithShape="0">
              <a:prstClr val="black">
                <a:alpha val="20000"/>
              </a:prstClr>
            </a:outerShdw>
          </a:effectLst>
        </c:spPr>
      </c:pivotFmt>
      <c:pivotFmt>
        <c:idx val="10"/>
        <c:spPr>
          <a:solidFill>
            <a:schemeClr val="accent3"/>
          </a:solidFill>
          <a:ln>
            <a:noFill/>
          </a:ln>
          <a:effectLst>
            <a:outerShdw blurRad="63500" sx="102000" sy="102000" algn="ctr" rotWithShape="0">
              <a:prstClr val="black">
                <a:alpha val="20000"/>
              </a:prstClr>
            </a:outerShdw>
          </a:effectLst>
        </c:spPr>
      </c:pivotFmt>
      <c:pivotFmt>
        <c:idx val="11"/>
        <c:spPr>
          <a:solidFill>
            <a:schemeClr val="accent4"/>
          </a:solidFill>
          <a:ln>
            <a:noFill/>
          </a:ln>
          <a:effectLst>
            <a:outerShdw blurRad="63500" sx="102000" sy="102000" algn="ctr" rotWithShape="0">
              <a:prstClr val="black">
                <a:alpha val="20000"/>
              </a:prstClr>
            </a:outerShdw>
          </a:effectLst>
        </c:spPr>
      </c:pivotFmt>
      <c:pivotFmt>
        <c:idx val="12"/>
        <c:spPr>
          <a:solidFill>
            <a:schemeClr val="accent5"/>
          </a:solidFill>
          <a:ln>
            <a:noFill/>
          </a:ln>
          <a:effectLst>
            <a:outerShdw blurRad="63500" sx="102000" sy="102000" algn="ctr" rotWithShape="0">
              <a:prstClr val="black">
                <a:alpha val="20000"/>
              </a:prstClr>
            </a:outerShdw>
          </a:effectLst>
        </c:spPr>
      </c:pivotFmt>
      <c:pivotFmt>
        <c:idx val="13"/>
        <c:spPr>
          <a:solidFill>
            <a:schemeClr val="accent6"/>
          </a:solidFill>
          <a:ln>
            <a:noFill/>
          </a:ln>
          <a:effectLst>
            <a:outerShdw blurRad="63500" sx="102000" sy="102000" algn="ctr" rotWithShape="0">
              <a:prstClr val="black">
                <a:alpha val="20000"/>
              </a:prstClr>
            </a:outerShdw>
          </a:effectLst>
        </c:spPr>
      </c:pivotFmt>
      <c:pivotFmt>
        <c:idx val="14"/>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bg2">
              <a:lumMod val="50000"/>
            </a:schemeClr>
          </a:solidFill>
          <a:ln>
            <a:noFill/>
          </a:ln>
          <a:effectLst>
            <a:outerShdw blurRad="63500" sx="102000" sy="102000" algn="ctr" rotWithShape="0">
              <a:prstClr val="black">
                <a:alpha val="20000"/>
              </a:prstClr>
            </a:outerShdw>
          </a:effectLst>
        </c:spPr>
      </c:pivotFmt>
      <c:pivotFmt>
        <c:idx val="16"/>
        <c:spPr>
          <a:solidFill>
            <a:srgbClr val="FF0000"/>
          </a:solidFill>
          <a:ln>
            <a:noFill/>
          </a:ln>
          <a:effectLst>
            <a:outerShdw blurRad="63500" sx="102000" sy="102000" algn="ctr" rotWithShape="0">
              <a:prstClr val="black">
                <a:alpha val="20000"/>
              </a:prstClr>
            </a:outerShdw>
          </a:effectLst>
        </c:spPr>
      </c:pivotFmt>
      <c:pivotFmt>
        <c:idx val="17"/>
        <c:spPr>
          <a:solidFill>
            <a:schemeClr val="accent6">
              <a:lumMod val="50000"/>
            </a:schemeClr>
          </a:solidFill>
          <a:ln>
            <a:noFill/>
          </a:ln>
          <a:effectLst>
            <a:outerShdw blurRad="63500" sx="102000" sy="102000" algn="ctr" rotWithShape="0">
              <a:prstClr val="black">
                <a:alpha val="20000"/>
              </a:prstClr>
            </a:outerShdw>
          </a:effectLst>
        </c:spPr>
      </c:pivotFmt>
      <c:pivotFmt>
        <c:idx val="18"/>
        <c:spPr>
          <a:solidFill>
            <a:schemeClr val="accent4">
              <a:lumMod val="75000"/>
            </a:schemeClr>
          </a:solidFill>
          <a:ln>
            <a:noFill/>
          </a:ln>
          <a:effectLst>
            <a:outerShdw blurRad="63500" sx="102000" sy="102000" algn="ctr" rotWithShape="0">
              <a:prstClr val="black">
                <a:alpha val="20000"/>
              </a:prstClr>
            </a:outerShdw>
          </a:effectLst>
        </c:spPr>
      </c:pivotFmt>
      <c:pivotFmt>
        <c:idx val="19"/>
        <c:spPr>
          <a:solidFill>
            <a:schemeClr val="accent2">
              <a:lumMod val="75000"/>
            </a:schemeClr>
          </a:solidFill>
          <a:ln>
            <a:noFill/>
          </a:ln>
          <a:effectLst>
            <a:outerShdw blurRad="63500" sx="102000" sy="102000" algn="ctr" rotWithShape="0">
              <a:prstClr val="black">
                <a:alpha val="20000"/>
              </a:prstClr>
            </a:outerShdw>
          </a:effectLst>
        </c:spPr>
      </c:pivotFmt>
      <c:pivotFmt>
        <c:idx val="20"/>
        <c:spPr>
          <a:solidFill>
            <a:schemeClr val="accent6"/>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17008880139982502"/>
          <c:y val="0.16166585238472292"/>
          <c:w val="0.47648906386701662"/>
          <c:h val="0.83833414761527703"/>
        </c:manualLayout>
      </c:layout>
      <c:pieChart>
        <c:varyColors val="1"/>
        <c:ser>
          <c:idx val="0"/>
          <c:order val="0"/>
          <c:tx>
            <c:strRef>
              <c:f>PivotTables!$Z$3</c:f>
              <c:strCache>
                <c:ptCount val="1"/>
                <c:pt idx="0">
                  <c:v>Total</c:v>
                </c:pt>
              </c:strCache>
            </c:strRef>
          </c:tx>
          <c:explosion val="2"/>
          <c:dPt>
            <c:idx val="0"/>
            <c:bubble3D val="0"/>
            <c:spPr>
              <a:solidFill>
                <a:schemeClr val="bg2">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398-4117-95EA-C918F618BBDF}"/>
              </c:ext>
            </c:extLst>
          </c:dPt>
          <c:dPt>
            <c:idx val="1"/>
            <c:bubble3D val="0"/>
            <c:spPr>
              <a:solidFill>
                <a:srgbClr val="FF00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398-4117-95EA-C918F618BBDF}"/>
              </c:ext>
            </c:extLst>
          </c:dPt>
          <c:dPt>
            <c:idx val="2"/>
            <c:bubble3D val="0"/>
            <c:spPr>
              <a:solidFill>
                <a:schemeClr val="accent6">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F398-4117-95EA-C918F618BBDF}"/>
              </c:ext>
            </c:extLst>
          </c:dPt>
          <c:dPt>
            <c:idx val="3"/>
            <c:bubble3D val="0"/>
            <c:spPr>
              <a:solidFill>
                <a:schemeClr val="accent4">
                  <a:lumMod val="7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F398-4117-95EA-C918F618BBDF}"/>
              </c:ext>
            </c:extLst>
          </c:dPt>
          <c:dPt>
            <c:idx val="4"/>
            <c:bubble3D val="0"/>
            <c:spPr>
              <a:solidFill>
                <a:schemeClr val="accent2">
                  <a:lumMod val="7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F398-4117-95EA-C918F618BBDF}"/>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F398-4117-95EA-C918F618BBDF}"/>
              </c:ext>
            </c:extLst>
          </c:dPt>
          <c:dLbls>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PivotTables!$Y$4:$Y$10</c:f>
              <c:strCache>
                <c:ptCount val="6"/>
                <c:pt idx="0">
                  <c:v>Africa</c:v>
                </c:pt>
                <c:pt idx="1">
                  <c:v>Americas</c:v>
                </c:pt>
                <c:pt idx="2">
                  <c:v>Eastern Mediterranean</c:v>
                </c:pt>
                <c:pt idx="3">
                  <c:v>Europe</c:v>
                </c:pt>
                <c:pt idx="4">
                  <c:v>South-East Asia</c:v>
                </c:pt>
                <c:pt idx="5">
                  <c:v>Western Pacific</c:v>
                </c:pt>
              </c:strCache>
            </c:strRef>
          </c:cat>
          <c:val>
            <c:numRef>
              <c:f>PivotTables!$Z$4:$Z$10</c:f>
              <c:numCache>
                <c:formatCode>General</c:formatCode>
                <c:ptCount val="6"/>
                <c:pt idx="0">
                  <c:v>100159</c:v>
                </c:pt>
                <c:pt idx="1">
                  <c:v>160371</c:v>
                </c:pt>
                <c:pt idx="2">
                  <c:v>169507</c:v>
                </c:pt>
                <c:pt idx="3">
                  <c:v>225320</c:v>
                </c:pt>
                <c:pt idx="4">
                  <c:v>43145</c:v>
                </c:pt>
                <c:pt idx="5">
                  <c:v>14495</c:v>
                </c:pt>
              </c:numCache>
            </c:numRef>
          </c:val>
          <c:extLst>
            <c:ext xmlns:c16="http://schemas.microsoft.com/office/drawing/2014/chart" uri="{C3380CC4-5D6E-409C-BE32-E72D297353CC}">
              <c16:uniqueId val="{0000000C-F398-4117-95EA-C918F618BBDF}"/>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dashbord_complete.xlsx]PivotTables!PivotTable18</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i="0" u="none" strike="noStrike" baseline="0"/>
              <a:t>Tests per 1 Million by Country</a:t>
            </a:r>
            <a:endParaRPr lang="en-US" sz="1600">
              <a:solidFill>
                <a:schemeClr val="tx1"/>
              </a:solidFill>
            </a:endParaRPr>
          </a:p>
        </c:rich>
      </c:tx>
      <c:layout>
        <c:manualLayout>
          <c:xMode val="edge"/>
          <c:yMode val="edge"/>
          <c:x val="0.68374605746591677"/>
          <c:y val="9.0090090090090089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24165986101051"/>
          <c:y val="0.1732165472525436"/>
          <c:w val="0.77659593920622949"/>
          <c:h val="0.48833413988735702"/>
        </c:manualLayout>
      </c:layout>
      <c:areaChart>
        <c:grouping val="standard"/>
        <c:varyColors val="0"/>
        <c:ser>
          <c:idx val="0"/>
          <c:order val="0"/>
          <c:tx>
            <c:strRef>
              <c:f>PivotTables!$W$3</c:f>
              <c:strCache>
                <c:ptCount val="1"/>
                <c:pt idx="0">
                  <c:v>Total</c:v>
                </c:pt>
              </c:strCache>
            </c:strRef>
          </c:tx>
          <c:spPr>
            <a:solidFill>
              <a:schemeClr val="accent1"/>
            </a:solidFill>
            <a:ln>
              <a:solidFill>
                <a:srgbClr val="FFFF00"/>
              </a:solidFill>
            </a:ln>
            <a:effectLst/>
          </c:spPr>
          <c:cat>
            <c:strRef>
              <c:f>PivotTables!$V$4:$V$14</c:f>
              <c:strCache>
                <c:ptCount val="10"/>
                <c:pt idx="0">
                  <c:v>Comoros</c:v>
                </c:pt>
                <c:pt idx="1">
                  <c:v>Denmark</c:v>
                </c:pt>
                <c:pt idx="2">
                  <c:v>Kosovo</c:v>
                </c:pt>
                <c:pt idx="3">
                  <c:v>Panama</c:v>
                </c:pt>
                <c:pt idx="4">
                  <c:v>Serbia</c:v>
                </c:pt>
                <c:pt idx="5">
                  <c:v>Turkey</c:v>
                </c:pt>
                <c:pt idx="6">
                  <c:v>United Arab Emirates</c:v>
                </c:pt>
                <c:pt idx="7">
                  <c:v>United Kingdom</c:v>
                </c:pt>
                <c:pt idx="8">
                  <c:v>Venezuela</c:v>
                </c:pt>
                <c:pt idx="9">
                  <c:v>Zambia</c:v>
                </c:pt>
              </c:strCache>
            </c:strRef>
          </c:cat>
          <c:val>
            <c:numRef>
              <c:f>PivotTables!$W$4:$W$14</c:f>
              <c:numCache>
                <c:formatCode>General</c:formatCode>
                <c:ptCount val="10"/>
                <c:pt idx="0">
                  <c:v>531470</c:v>
                </c:pt>
                <c:pt idx="1">
                  <c:v>513691</c:v>
                </c:pt>
                <c:pt idx="2">
                  <c:v>995282</c:v>
                </c:pt>
                <c:pt idx="3">
                  <c:v>438385</c:v>
                </c:pt>
                <c:pt idx="4">
                  <c:v>309541</c:v>
                </c:pt>
                <c:pt idx="5">
                  <c:v>880590</c:v>
                </c:pt>
                <c:pt idx="6">
                  <c:v>472780</c:v>
                </c:pt>
                <c:pt idx="7">
                  <c:v>684565</c:v>
                </c:pt>
                <c:pt idx="8">
                  <c:v>423298</c:v>
                </c:pt>
                <c:pt idx="9">
                  <c:v>972982</c:v>
                </c:pt>
              </c:numCache>
            </c:numRef>
          </c:val>
          <c:extLst>
            <c:ext xmlns:c16="http://schemas.microsoft.com/office/drawing/2014/chart" uri="{C3380CC4-5D6E-409C-BE32-E72D297353CC}">
              <c16:uniqueId val="{00000000-99E1-42AA-9E59-82B083067682}"/>
            </c:ext>
          </c:extLst>
        </c:ser>
        <c:dLbls>
          <c:showLegendKey val="0"/>
          <c:showVal val="0"/>
          <c:showCatName val="0"/>
          <c:showSerName val="0"/>
          <c:showPercent val="0"/>
          <c:showBubbleSize val="0"/>
        </c:dLbls>
        <c:axId val="1236840351"/>
        <c:axId val="1236818719"/>
      </c:areaChart>
      <c:catAx>
        <c:axId val="1236840351"/>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solidFill>
                      <a:schemeClr val="tx1"/>
                    </a:solidFill>
                  </a:rPr>
                  <a:t>COUNTRY </a:t>
                </a:r>
              </a:p>
            </c:rich>
          </c:tx>
          <c:layout>
            <c:manualLayout>
              <c:xMode val="edge"/>
              <c:yMode val="edge"/>
              <c:x val="0.40376310345434324"/>
              <c:y val="0.9179953181527984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6818719"/>
        <c:crosses val="autoZero"/>
        <c:auto val="1"/>
        <c:lblAlgn val="ctr"/>
        <c:lblOffset val="100"/>
        <c:noMultiLvlLbl val="0"/>
      </c:catAx>
      <c:valAx>
        <c:axId val="1236818719"/>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solidFill>
                      <a:schemeClr val="tx1"/>
                    </a:solidFill>
                  </a:rPr>
                  <a:t>TEST\1M</a:t>
                </a:r>
              </a:p>
            </c:rich>
          </c:tx>
          <c:layout>
            <c:manualLayout>
              <c:xMode val="edge"/>
              <c:yMode val="edge"/>
              <c:x val="1.5149273177749495E-2"/>
              <c:y val="0.32341952188408879"/>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6840351"/>
        <c:crosses val="autoZero"/>
        <c:crossBetween val="midCat"/>
      </c:valAx>
      <c:spPr>
        <a:solidFill>
          <a:schemeClr val="bg1"/>
        </a:solidFill>
        <a:ln cmpd="dbl">
          <a:solidFill>
            <a:schemeClr val="bg1"/>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66675</xdr:colOff>
      <xdr:row>4</xdr:row>
      <xdr:rowOff>85725</xdr:rowOff>
    </xdr:from>
    <xdr:to>
      <xdr:col>1</xdr:col>
      <xdr:colOff>9525</xdr:colOff>
      <xdr:row>7</xdr:row>
      <xdr:rowOff>171450</xdr:rowOff>
    </xdr:to>
    <xdr:sp macro="" textlink="$A$2">
      <xdr:nvSpPr>
        <xdr:cNvPr id="2" name="Rectangle 1">
          <a:extLst>
            <a:ext uri="{FF2B5EF4-FFF2-40B4-BE49-F238E27FC236}">
              <a16:creationId xmlns:a16="http://schemas.microsoft.com/office/drawing/2014/main" id="{5C35DDC0-FAE3-44FA-A946-6815B4D37A4F}"/>
            </a:ext>
          </a:extLst>
        </xdr:cNvPr>
        <xdr:cNvSpPr/>
      </xdr:nvSpPr>
      <xdr:spPr>
        <a:xfrm>
          <a:off x="66675" y="847725"/>
          <a:ext cx="1400175" cy="657225"/>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CE5B96D-125E-4B62-8E7E-C0CE759C9B4B}" type="TxLink">
            <a:rPr lang="en-US" sz="1100" b="0" i="0" u="none" strike="noStrike">
              <a:solidFill>
                <a:srgbClr val="000000"/>
              </a:solidFill>
              <a:latin typeface="Calibri"/>
              <a:ea typeface="Calibri"/>
              <a:cs typeface="Calibri"/>
            </a:rPr>
            <a:pPr algn="ctr"/>
            <a:t> 19,168,488.00 </a:t>
          </a:fld>
          <a:endParaRPr lang="en-US" sz="1200"/>
        </a:p>
      </xdr:txBody>
    </xdr:sp>
    <xdr:clientData/>
  </xdr:twoCellAnchor>
  <xdr:twoCellAnchor>
    <xdr:from>
      <xdr:col>3</xdr:col>
      <xdr:colOff>0</xdr:colOff>
      <xdr:row>5</xdr:row>
      <xdr:rowOff>0</xdr:rowOff>
    </xdr:from>
    <xdr:to>
      <xdr:col>4</xdr:col>
      <xdr:colOff>171450</xdr:colOff>
      <xdr:row>8</xdr:row>
      <xdr:rowOff>85725</xdr:rowOff>
    </xdr:to>
    <xdr:sp macro="" textlink="$D$2">
      <xdr:nvSpPr>
        <xdr:cNvPr id="4" name="Rectangle 3">
          <a:extLst>
            <a:ext uri="{FF2B5EF4-FFF2-40B4-BE49-F238E27FC236}">
              <a16:creationId xmlns:a16="http://schemas.microsoft.com/office/drawing/2014/main" id="{3FC9B296-7F93-4068-BC57-1E448F0456C1}"/>
            </a:ext>
          </a:extLst>
        </xdr:cNvPr>
        <xdr:cNvSpPr/>
      </xdr:nvSpPr>
      <xdr:spPr>
        <a:xfrm>
          <a:off x="3181350" y="952500"/>
          <a:ext cx="1400175" cy="657225"/>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20934BC-A3C9-4BA0-8008-08B25C21F055}" type="TxLink">
            <a:rPr lang="en-US" sz="1200" b="0" i="0" u="none" strike="noStrike">
              <a:solidFill>
                <a:srgbClr val="000000"/>
              </a:solidFill>
              <a:latin typeface="Calibri"/>
              <a:ea typeface="Calibri"/>
              <a:cs typeface="Calibri"/>
            </a:rPr>
            <a:pPr algn="ctr"/>
            <a:t> 712,997.00 </a:t>
          </a:fld>
          <a:endParaRPr lang="en-US" sz="1200"/>
        </a:p>
      </xdr:txBody>
    </xdr:sp>
    <xdr:clientData/>
  </xdr:twoCellAnchor>
  <xdr:twoCellAnchor>
    <xdr:from>
      <xdr:col>0</xdr:col>
      <xdr:colOff>0</xdr:colOff>
      <xdr:row>13</xdr:row>
      <xdr:rowOff>0</xdr:rowOff>
    </xdr:from>
    <xdr:to>
      <xdr:col>0</xdr:col>
      <xdr:colOff>1400175</xdr:colOff>
      <xdr:row>16</xdr:row>
      <xdr:rowOff>85725</xdr:rowOff>
    </xdr:to>
    <xdr:sp macro="" textlink="$A$10">
      <xdr:nvSpPr>
        <xdr:cNvPr id="7" name="Rectangle 6">
          <a:extLst>
            <a:ext uri="{FF2B5EF4-FFF2-40B4-BE49-F238E27FC236}">
              <a16:creationId xmlns:a16="http://schemas.microsoft.com/office/drawing/2014/main" id="{8F5D113F-5888-425C-BB09-4F8855225EED}"/>
            </a:ext>
          </a:extLst>
        </xdr:cNvPr>
        <xdr:cNvSpPr/>
      </xdr:nvSpPr>
      <xdr:spPr>
        <a:xfrm>
          <a:off x="0" y="2476500"/>
          <a:ext cx="1400175" cy="657225"/>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CA18C7D-BBD1-4D41-A151-4D72E277FE52}" type="TxLink">
            <a:rPr lang="en-US" sz="1200" b="0" i="0" u="none" strike="noStrike">
              <a:solidFill>
                <a:srgbClr val="000000"/>
              </a:solidFill>
              <a:latin typeface="Calibri"/>
              <a:ea typeface="Calibri"/>
              <a:cs typeface="Calibri"/>
            </a:rPr>
            <a:pPr algn="ctr"/>
            <a:t> 12,069,624.00 </a:t>
          </a:fld>
          <a:endParaRPr lang="en-US" sz="1200"/>
        </a:p>
      </xdr:txBody>
    </xdr:sp>
    <xdr:clientData/>
  </xdr:twoCellAnchor>
  <xdr:twoCellAnchor>
    <xdr:from>
      <xdr:col>3</xdr:col>
      <xdr:colOff>0</xdr:colOff>
      <xdr:row>16</xdr:row>
      <xdr:rowOff>0</xdr:rowOff>
    </xdr:from>
    <xdr:to>
      <xdr:col>4</xdr:col>
      <xdr:colOff>171450</xdr:colOff>
      <xdr:row>19</xdr:row>
      <xdr:rowOff>85725</xdr:rowOff>
    </xdr:to>
    <xdr:sp macro="" textlink="$D$13">
      <xdr:nvSpPr>
        <xdr:cNvPr id="9" name="Rectangle 8">
          <a:extLst>
            <a:ext uri="{FF2B5EF4-FFF2-40B4-BE49-F238E27FC236}">
              <a16:creationId xmlns:a16="http://schemas.microsoft.com/office/drawing/2014/main" id="{E6743FD7-A3BF-4546-85D5-D81B415F53F5}"/>
            </a:ext>
          </a:extLst>
        </xdr:cNvPr>
        <xdr:cNvSpPr/>
      </xdr:nvSpPr>
      <xdr:spPr>
        <a:xfrm>
          <a:off x="3181350" y="3048000"/>
          <a:ext cx="1400175" cy="657225"/>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147A072-8230-43F6-9087-7D126CE11895}" type="TxLink">
            <a:rPr lang="en-US" sz="1200" b="0" i="0" u="none" strike="noStrike">
              <a:solidFill>
                <a:srgbClr val="000000"/>
              </a:solidFill>
              <a:latin typeface="Calibri"/>
              <a:ea typeface="Calibri"/>
              <a:cs typeface="Calibri"/>
            </a:rPr>
            <a:pPr algn="ctr"/>
            <a:t> 5,824,502.00 </a:t>
          </a:fld>
          <a:endParaRPr lang="en-US" sz="1200"/>
        </a:p>
      </xdr:txBody>
    </xdr:sp>
    <xdr:clientData/>
  </xdr:twoCellAnchor>
  <xdr:twoCellAnchor editAs="oneCell">
    <xdr:from>
      <xdr:col>0</xdr:col>
      <xdr:colOff>47625</xdr:colOff>
      <xdr:row>30</xdr:row>
      <xdr:rowOff>95250</xdr:rowOff>
    </xdr:from>
    <xdr:to>
      <xdr:col>1</xdr:col>
      <xdr:colOff>723900</xdr:colOff>
      <xdr:row>43</xdr:row>
      <xdr:rowOff>142875</xdr:rowOff>
    </xdr:to>
    <mc:AlternateContent xmlns:mc="http://schemas.openxmlformats.org/markup-compatibility/2006" xmlns:a14="http://schemas.microsoft.com/office/drawing/2010/main">
      <mc:Choice Requires="a14">
        <xdr:graphicFrame macro="">
          <xdr:nvGraphicFramePr>
            <xdr:cNvPr id="12" name="WHO Region">
              <a:extLst>
                <a:ext uri="{FF2B5EF4-FFF2-40B4-BE49-F238E27FC236}">
                  <a16:creationId xmlns:a16="http://schemas.microsoft.com/office/drawing/2014/main" id="{ADF28AAC-D026-4A2A-9DB4-2054C74BA3EB}"/>
                </a:ext>
              </a:extLst>
            </xdr:cNvPr>
            <xdr:cNvGraphicFramePr/>
          </xdr:nvGraphicFramePr>
          <xdr:xfrm>
            <a:off x="0" y="0"/>
            <a:ext cx="0" cy="0"/>
          </xdr:xfrm>
          <a:graphic>
            <a:graphicData uri="http://schemas.microsoft.com/office/drawing/2010/slicer">
              <sle:slicer xmlns:sle="http://schemas.microsoft.com/office/drawing/2010/slicer" name="WHO Region"/>
            </a:graphicData>
          </a:graphic>
        </xdr:graphicFrame>
      </mc:Choice>
      <mc:Fallback xmlns="">
        <xdr:sp macro="" textlink="">
          <xdr:nvSpPr>
            <xdr:cNvPr id="0" name=""/>
            <xdr:cNvSpPr>
              <a:spLocks noTextEdit="1"/>
            </xdr:cNvSpPr>
          </xdr:nvSpPr>
          <xdr:spPr>
            <a:xfrm>
              <a:off x="47625" y="5810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628650</xdr:colOff>
      <xdr:row>30</xdr:row>
      <xdr:rowOff>133350</xdr:rowOff>
    </xdr:from>
    <xdr:to>
      <xdr:col>3</xdr:col>
      <xdr:colOff>733425</xdr:colOff>
      <xdr:row>43</xdr:row>
      <xdr:rowOff>180975</xdr:rowOff>
    </xdr:to>
    <mc:AlternateContent xmlns:mc="http://schemas.openxmlformats.org/markup-compatibility/2006" xmlns:a14="http://schemas.microsoft.com/office/drawing/2010/main">
      <mc:Choice Requires="a14">
        <xdr:graphicFrame macro="">
          <xdr:nvGraphicFramePr>
            <xdr:cNvPr id="13" name="Continent">
              <a:extLst>
                <a:ext uri="{FF2B5EF4-FFF2-40B4-BE49-F238E27FC236}">
                  <a16:creationId xmlns:a16="http://schemas.microsoft.com/office/drawing/2014/main" id="{F9A1E372-A93D-4704-85DD-E1DD57AC746E}"/>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1781175" y="5848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914400</xdr:colOff>
      <xdr:row>35</xdr:row>
      <xdr:rowOff>0</xdr:rowOff>
    </xdr:from>
    <xdr:to>
      <xdr:col>5</xdr:col>
      <xdr:colOff>66675</xdr:colOff>
      <xdr:row>42</xdr:row>
      <xdr:rowOff>38100</xdr:rowOff>
    </xdr:to>
    <mc:AlternateContent xmlns:mc="http://schemas.openxmlformats.org/markup-compatibility/2006" xmlns:tsle="http://schemas.microsoft.com/office/drawing/2012/timeslicer">
      <mc:Choice Requires="tsle">
        <xdr:graphicFrame macro="">
          <xdr:nvGraphicFramePr>
            <xdr:cNvPr id="14" name="Date">
              <a:extLst>
                <a:ext uri="{FF2B5EF4-FFF2-40B4-BE49-F238E27FC236}">
                  <a16:creationId xmlns:a16="http://schemas.microsoft.com/office/drawing/2014/main" id="{5FB102B9-7894-47F9-9962-F6FEFB1A77F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066925" y="66675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276224</xdr:colOff>
      <xdr:row>33</xdr:row>
      <xdr:rowOff>23812</xdr:rowOff>
    </xdr:from>
    <xdr:to>
      <xdr:col>13</xdr:col>
      <xdr:colOff>600075</xdr:colOff>
      <xdr:row>47</xdr:row>
      <xdr:rowOff>100012</xdr:rowOff>
    </xdr:to>
    <xdr:graphicFrame macro="">
      <xdr:nvGraphicFramePr>
        <xdr:cNvPr id="15" name="Chart 14">
          <a:extLst>
            <a:ext uri="{FF2B5EF4-FFF2-40B4-BE49-F238E27FC236}">
              <a16:creationId xmlns:a16="http://schemas.microsoft.com/office/drawing/2014/main" id="{11B09EA0-3974-4456-BFD8-069347D03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109536</xdr:colOff>
      <xdr:row>15</xdr:row>
      <xdr:rowOff>166687</xdr:rowOff>
    </xdr:from>
    <xdr:to>
      <xdr:col>9</xdr:col>
      <xdr:colOff>476249</xdr:colOff>
      <xdr:row>30</xdr:row>
      <xdr:rowOff>52387</xdr:rowOff>
    </xdr:to>
    <xdr:graphicFrame macro="">
      <xdr:nvGraphicFramePr>
        <xdr:cNvPr id="16" name="Chart 15">
          <a:extLst>
            <a:ext uri="{FF2B5EF4-FFF2-40B4-BE49-F238E27FC236}">
              <a16:creationId xmlns:a16="http://schemas.microsoft.com/office/drawing/2014/main" id="{EC461675-2530-4269-881F-582DA8A0C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352425</xdr:colOff>
      <xdr:row>15</xdr:row>
      <xdr:rowOff>166687</xdr:rowOff>
    </xdr:from>
    <xdr:to>
      <xdr:col>15</xdr:col>
      <xdr:colOff>371475</xdr:colOff>
      <xdr:row>30</xdr:row>
      <xdr:rowOff>52387</xdr:rowOff>
    </xdr:to>
    <xdr:graphicFrame macro="">
      <xdr:nvGraphicFramePr>
        <xdr:cNvPr id="3" name="Chart 2">
          <a:extLst>
            <a:ext uri="{FF2B5EF4-FFF2-40B4-BE49-F238E27FC236}">
              <a16:creationId xmlns:a16="http://schemas.microsoft.com/office/drawing/2014/main" id="{E3ACBA82-183A-42CE-A709-5C4B1FE64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742950</xdr:colOff>
      <xdr:row>17</xdr:row>
      <xdr:rowOff>161925</xdr:rowOff>
    </xdr:from>
    <xdr:to>
      <xdr:col>20</xdr:col>
      <xdr:colOff>333375</xdr:colOff>
      <xdr:row>32</xdr:row>
      <xdr:rowOff>114299</xdr:rowOff>
    </xdr:to>
    <xdr:graphicFrame macro="">
      <xdr:nvGraphicFramePr>
        <xdr:cNvPr id="6" name="Chart 5">
          <a:extLst>
            <a:ext uri="{FF2B5EF4-FFF2-40B4-BE49-F238E27FC236}">
              <a16:creationId xmlns:a16="http://schemas.microsoft.com/office/drawing/2014/main" id="{32710800-D81D-47C2-B538-3AE7CD148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404811</xdr:colOff>
      <xdr:row>30</xdr:row>
      <xdr:rowOff>95250</xdr:rowOff>
    </xdr:from>
    <xdr:to>
      <xdr:col>24</xdr:col>
      <xdr:colOff>838201</xdr:colOff>
      <xdr:row>45</xdr:row>
      <xdr:rowOff>57150</xdr:rowOff>
    </xdr:to>
    <xdr:graphicFrame macro="">
      <xdr:nvGraphicFramePr>
        <xdr:cNvPr id="8" name="Chart 7">
          <a:extLst>
            <a:ext uri="{FF2B5EF4-FFF2-40B4-BE49-F238E27FC236}">
              <a16:creationId xmlns:a16="http://schemas.microsoft.com/office/drawing/2014/main" id="{7BC2825D-BEF3-4B3E-B546-6F87668DD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1114425</xdr:colOff>
      <xdr:row>12</xdr:row>
      <xdr:rowOff>47624</xdr:rowOff>
    </xdr:from>
    <xdr:to>
      <xdr:col>27</xdr:col>
      <xdr:colOff>542925</xdr:colOff>
      <xdr:row>26</xdr:row>
      <xdr:rowOff>28575</xdr:rowOff>
    </xdr:to>
    <xdr:graphicFrame macro="">
      <xdr:nvGraphicFramePr>
        <xdr:cNvPr id="10" name="Chart 9">
          <a:extLst>
            <a:ext uri="{FF2B5EF4-FFF2-40B4-BE49-F238E27FC236}">
              <a16:creationId xmlns:a16="http://schemas.microsoft.com/office/drawing/2014/main" id="{E3A49BDF-DE3C-4F02-899D-AB03642BB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1009650</xdr:colOff>
      <xdr:row>6</xdr:row>
      <xdr:rowOff>76200</xdr:rowOff>
    </xdr:from>
    <xdr:to>
      <xdr:col>31</xdr:col>
      <xdr:colOff>114300</xdr:colOff>
      <xdr:row>9</xdr:row>
      <xdr:rowOff>123825</xdr:rowOff>
    </xdr:to>
    <xdr:sp macro="" textlink="$AD$2">
      <xdr:nvSpPr>
        <xdr:cNvPr id="5" name="Rectangle: Rounded Corners 4">
          <a:extLst>
            <a:ext uri="{FF2B5EF4-FFF2-40B4-BE49-F238E27FC236}">
              <a16:creationId xmlns:a16="http://schemas.microsoft.com/office/drawing/2014/main" id="{9395988A-09AA-445B-AE4B-85998267CC6F}"/>
            </a:ext>
          </a:extLst>
        </xdr:cNvPr>
        <xdr:cNvSpPr/>
      </xdr:nvSpPr>
      <xdr:spPr>
        <a:xfrm>
          <a:off x="31918275" y="1219200"/>
          <a:ext cx="1447800" cy="6191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3BE24B0-4EB2-49C8-8AD9-A09AF3A44A59}" type="TxLink">
            <a:rPr lang="en-US" sz="1100" b="0" i="0" u="none" strike="noStrike">
              <a:solidFill>
                <a:srgbClr val="000000"/>
              </a:solidFill>
              <a:latin typeface="Calibri"/>
              <a:ea typeface="Calibri"/>
              <a:cs typeface="Calibri"/>
            </a:rPr>
            <a:pPr algn="l"/>
            <a:t> 267,768,109.00 </a:t>
          </a:fld>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19050</xdr:rowOff>
    </xdr:from>
    <xdr:to>
      <xdr:col>25</xdr:col>
      <xdr:colOff>571500</xdr:colOff>
      <xdr:row>3</xdr:row>
      <xdr:rowOff>0</xdr:rowOff>
    </xdr:to>
    <xdr:sp macro="" textlink="">
      <xdr:nvSpPr>
        <xdr:cNvPr id="5" name="Rectangle 4">
          <a:extLst>
            <a:ext uri="{FF2B5EF4-FFF2-40B4-BE49-F238E27FC236}">
              <a16:creationId xmlns:a16="http://schemas.microsoft.com/office/drawing/2014/main" id="{D8CC6077-D8FE-4ACD-B16A-E254C090621D}"/>
            </a:ext>
          </a:extLst>
        </xdr:cNvPr>
        <xdr:cNvSpPr/>
      </xdr:nvSpPr>
      <xdr:spPr>
        <a:xfrm>
          <a:off x="19050" y="19050"/>
          <a:ext cx="15792450" cy="552450"/>
        </a:xfrm>
        <a:prstGeom prst="rect">
          <a:avLst/>
        </a:prstGeom>
        <a:solidFill>
          <a:schemeClr val="tx2"/>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2800">
              <a:solidFill>
                <a:schemeClr val="accent1">
                  <a:lumMod val="40000"/>
                  <a:lumOff val="60000"/>
                </a:schemeClr>
              </a:solidFill>
            </a:rPr>
            <a:t> EXECUTIVE COVID 19 DASHBORD</a:t>
          </a:r>
        </a:p>
      </xdr:txBody>
    </xdr:sp>
    <xdr:clientData/>
  </xdr:twoCellAnchor>
  <xdr:twoCellAnchor>
    <xdr:from>
      <xdr:col>0</xdr:col>
      <xdr:colOff>19049</xdr:colOff>
      <xdr:row>3</xdr:row>
      <xdr:rowOff>9524</xdr:rowOff>
    </xdr:from>
    <xdr:to>
      <xdr:col>4</xdr:col>
      <xdr:colOff>19050</xdr:colOff>
      <xdr:row>44</xdr:row>
      <xdr:rowOff>133349</xdr:rowOff>
    </xdr:to>
    <xdr:sp macro="" textlink="">
      <xdr:nvSpPr>
        <xdr:cNvPr id="2" name="Rectangle 1">
          <a:extLst>
            <a:ext uri="{FF2B5EF4-FFF2-40B4-BE49-F238E27FC236}">
              <a16:creationId xmlns:a16="http://schemas.microsoft.com/office/drawing/2014/main" id="{858356AE-3C07-4A7F-BFD8-6C899B99C9F7}"/>
            </a:ext>
          </a:extLst>
        </xdr:cNvPr>
        <xdr:cNvSpPr/>
      </xdr:nvSpPr>
      <xdr:spPr>
        <a:xfrm>
          <a:off x="19049" y="581024"/>
          <a:ext cx="2438401" cy="7934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9525</xdr:colOff>
      <xdr:row>28</xdr:row>
      <xdr:rowOff>123825</xdr:rowOff>
    </xdr:from>
    <xdr:to>
      <xdr:col>4</xdr:col>
      <xdr:colOff>40005</xdr:colOff>
      <xdr:row>44</xdr:row>
      <xdr:rowOff>184785</xdr:rowOff>
    </xdr:to>
    <mc:AlternateContent xmlns:mc="http://schemas.openxmlformats.org/markup-compatibility/2006" xmlns:a14="http://schemas.microsoft.com/office/drawing/2010/main">
      <mc:Choice Requires="a14">
        <xdr:graphicFrame macro="">
          <xdr:nvGraphicFramePr>
            <xdr:cNvPr id="8" name="WHO Region 1">
              <a:extLst>
                <a:ext uri="{FF2B5EF4-FFF2-40B4-BE49-F238E27FC236}">
                  <a16:creationId xmlns:a16="http://schemas.microsoft.com/office/drawing/2014/main" id="{CF0DA599-654C-4553-B70A-E199CB1436E8}"/>
                </a:ext>
              </a:extLst>
            </xdr:cNvPr>
            <xdr:cNvGraphicFramePr/>
          </xdr:nvGraphicFramePr>
          <xdr:xfrm>
            <a:off x="0" y="0"/>
            <a:ext cx="0" cy="0"/>
          </xdr:xfrm>
          <a:graphic>
            <a:graphicData uri="http://schemas.microsoft.com/office/drawing/2010/slicer">
              <sle:slicer xmlns:sle="http://schemas.microsoft.com/office/drawing/2010/slicer" name="WHO Region 1"/>
            </a:graphicData>
          </a:graphic>
        </xdr:graphicFrame>
      </mc:Choice>
      <mc:Fallback xmlns="">
        <xdr:sp macro="" textlink="">
          <xdr:nvSpPr>
            <xdr:cNvPr id="0" name=""/>
            <xdr:cNvSpPr>
              <a:spLocks noTextEdit="1"/>
            </xdr:cNvSpPr>
          </xdr:nvSpPr>
          <xdr:spPr>
            <a:xfrm>
              <a:off x="9525" y="5457825"/>
              <a:ext cx="2468880" cy="3108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13</xdr:row>
      <xdr:rowOff>38100</xdr:rowOff>
    </xdr:from>
    <xdr:to>
      <xdr:col>4</xdr:col>
      <xdr:colOff>28575</xdr:colOff>
      <xdr:row>28</xdr:row>
      <xdr:rowOff>106680</xdr:rowOff>
    </xdr:to>
    <mc:AlternateContent xmlns:mc="http://schemas.openxmlformats.org/markup-compatibility/2006" xmlns:a14="http://schemas.microsoft.com/office/drawing/2010/main">
      <mc:Choice Requires="a14">
        <xdr:graphicFrame macro="">
          <xdr:nvGraphicFramePr>
            <xdr:cNvPr id="9" name="Continent 1">
              <a:extLst>
                <a:ext uri="{FF2B5EF4-FFF2-40B4-BE49-F238E27FC236}">
                  <a16:creationId xmlns:a16="http://schemas.microsoft.com/office/drawing/2014/main" id="{4D49ABA6-29AE-4F9E-AE14-F094084462C9}"/>
                </a:ext>
              </a:extLst>
            </xdr:cNvPr>
            <xdr:cNvGraphicFramePr/>
          </xdr:nvGraphicFramePr>
          <xdr:xfrm>
            <a:off x="0" y="0"/>
            <a:ext cx="0" cy="0"/>
          </xdr:xfrm>
          <a:graphic>
            <a:graphicData uri="http://schemas.microsoft.com/office/drawing/2010/slicer">
              <sle:slicer xmlns:sle="http://schemas.microsoft.com/office/drawing/2010/slicer" name="Continent 1"/>
            </a:graphicData>
          </a:graphic>
        </xdr:graphicFrame>
      </mc:Choice>
      <mc:Fallback xmlns="">
        <xdr:sp macro="" textlink="">
          <xdr:nvSpPr>
            <xdr:cNvPr id="0" name=""/>
            <xdr:cNvSpPr>
              <a:spLocks noTextEdit="1"/>
            </xdr:cNvSpPr>
          </xdr:nvSpPr>
          <xdr:spPr>
            <a:xfrm>
              <a:off x="9525" y="2514600"/>
              <a:ext cx="2457450" cy="2926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3</xdr:row>
      <xdr:rowOff>9525</xdr:rowOff>
    </xdr:from>
    <xdr:to>
      <xdr:col>4</xdr:col>
      <xdr:colOff>28574</xdr:colOff>
      <xdr:row>13</xdr:row>
      <xdr:rowOff>19050</xdr:rowOff>
    </xdr:to>
    <mc:AlternateContent xmlns:mc="http://schemas.openxmlformats.org/markup-compatibility/2006" xmlns:tsle="http://schemas.microsoft.com/office/drawing/2012/timeslicer">
      <mc:Choice Requires="tsle">
        <xdr:graphicFrame macro="">
          <xdr:nvGraphicFramePr>
            <xdr:cNvPr id="11" name="Date 1">
              <a:extLst>
                <a:ext uri="{FF2B5EF4-FFF2-40B4-BE49-F238E27FC236}">
                  <a16:creationId xmlns:a16="http://schemas.microsoft.com/office/drawing/2014/main" id="{1F6B3AA1-4CB9-4AE5-92EB-8E6D18B5F009}"/>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9525" y="590549"/>
              <a:ext cx="2457449" cy="19050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13</xdr:col>
      <xdr:colOff>304799</xdr:colOff>
      <xdr:row>3</xdr:row>
      <xdr:rowOff>143560</xdr:rowOff>
    </xdr:from>
    <xdr:to>
      <xdr:col>16</xdr:col>
      <xdr:colOff>333374</xdr:colOff>
      <xdr:row>8</xdr:row>
      <xdr:rowOff>49337</xdr:rowOff>
    </xdr:to>
    <xdr:sp macro="" textlink="">
      <xdr:nvSpPr>
        <xdr:cNvPr id="12" name="Rectangle: Rounded Corners 11">
          <a:extLst>
            <a:ext uri="{FF2B5EF4-FFF2-40B4-BE49-F238E27FC236}">
              <a16:creationId xmlns:a16="http://schemas.microsoft.com/office/drawing/2014/main" id="{BAD37F96-CEF6-48B8-B476-10683DE04A61}"/>
            </a:ext>
          </a:extLst>
        </xdr:cNvPr>
        <xdr:cNvSpPr/>
      </xdr:nvSpPr>
      <xdr:spPr>
        <a:xfrm>
          <a:off x="8229599" y="715060"/>
          <a:ext cx="1857375" cy="858277"/>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a:t>
          </a:r>
          <a:r>
            <a:rPr lang="en-US" sz="1100"/>
            <a:t> </a:t>
          </a:r>
          <a:r>
            <a:rPr lang="en-US" sz="1400"/>
            <a:t>DEATHS</a:t>
          </a:r>
        </a:p>
      </xdr:txBody>
    </xdr:sp>
    <xdr:clientData/>
  </xdr:twoCellAnchor>
  <xdr:twoCellAnchor>
    <xdr:from>
      <xdr:col>4</xdr:col>
      <xdr:colOff>247649</xdr:colOff>
      <xdr:row>3</xdr:row>
      <xdr:rowOff>160741</xdr:rowOff>
    </xdr:from>
    <xdr:to>
      <xdr:col>7</xdr:col>
      <xdr:colOff>219074</xdr:colOff>
      <xdr:row>8</xdr:row>
      <xdr:rowOff>32155</xdr:rowOff>
    </xdr:to>
    <xdr:sp macro="" textlink="">
      <xdr:nvSpPr>
        <xdr:cNvPr id="3" name="Rectangle: Rounded Corners 2">
          <a:extLst>
            <a:ext uri="{FF2B5EF4-FFF2-40B4-BE49-F238E27FC236}">
              <a16:creationId xmlns:a16="http://schemas.microsoft.com/office/drawing/2014/main" id="{F40EACDF-451A-443B-834C-6EB8F2B9C997}"/>
            </a:ext>
          </a:extLst>
        </xdr:cNvPr>
        <xdr:cNvSpPr/>
      </xdr:nvSpPr>
      <xdr:spPr>
        <a:xfrm>
          <a:off x="2686049" y="732241"/>
          <a:ext cx="1800225" cy="823914"/>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a:solidFill>
                <a:schemeClr val="lt1"/>
              </a:solidFill>
              <a:latin typeface="+mn-lt"/>
              <a:ea typeface="+mn-ea"/>
              <a:cs typeface="+mn-cs"/>
            </a:rPr>
            <a:t>TOTAL</a:t>
          </a:r>
          <a:r>
            <a:rPr lang="en-US" sz="1400" baseline="0">
              <a:solidFill>
                <a:schemeClr val="lt1"/>
              </a:solidFill>
              <a:latin typeface="+mn-lt"/>
              <a:ea typeface="+mn-ea"/>
              <a:cs typeface="+mn-cs"/>
            </a:rPr>
            <a:t> TESTS</a:t>
          </a:r>
          <a:endParaRPr lang="en-US" sz="1400">
            <a:solidFill>
              <a:schemeClr val="lt1"/>
            </a:solidFill>
            <a:latin typeface="+mn-lt"/>
            <a:ea typeface="+mn-ea"/>
            <a:cs typeface="+mn-cs"/>
          </a:endParaRPr>
        </a:p>
      </xdr:txBody>
    </xdr:sp>
    <xdr:clientData/>
  </xdr:twoCellAnchor>
  <xdr:twoCellAnchor>
    <xdr:from>
      <xdr:col>9</xdr:col>
      <xdr:colOff>57150</xdr:colOff>
      <xdr:row>3</xdr:row>
      <xdr:rowOff>140579</xdr:rowOff>
    </xdr:from>
    <xdr:to>
      <xdr:col>11</xdr:col>
      <xdr:colOff>600075</xdr:colOff>
      <xdr:row>8</xdr:row>
      <xdr:rowOff>52317</xdr:rowOff>
    </xdr:to>
    <xdr:sp macro="" textlink="">
      <xdr:nvSpPr>
        <xdr:cNvPr id="13" name="Rectangle: Rounded Corners 12">
          <a:extLst>
            <a:ext uri="{FF2B5EF4-FFF2-40B4-BE49-F238E27FC236}">
              <a16:creationId xmlns:a16="http://schemas.microsoft.com/office/drawing/2014/main" id="{F822B754-A6AA-46AB-B2FC-EA2778F4475F}"/>
            </a:ext>
          </a:extLst>
        </xdr:cNvPr>
        <xdr:cNvSpPr/>
      </xdr:nvSpPr>
      <xdr:spPr>
        <a:xfrm>
          <a:off x="5543550" y="712079"/>
          <a:ext cx="1762125" cy="864238"/>
        </a:xfrm>
        <a:prstGeom prst="round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a:t>
          </a:r>
          <a:r>
            <a:rPr lang="en-US" sz="1100"/>
            <a:t> </a:t>
          </a:r>
          <a:r>
            <a:rPr lang="en-US" sz="1400"/>
            <a:t>CASES</a:t>
          </a:r>
        </a:p>
      </xdr:txBody>
    </xdr:sp>
    <xdr:clientData/>
  </xdr:twoCellAnchor>
  <xdr:twoCellAnchor>
    <xdr:from>
      <xdr:col>18</xdr:col>
      <xdr:colOff>438149</xdr:colOff>
      <xdr:row>3</xdr:row>
      <xdr:rowOff>126206</xdr:rowOff>
    </xdr:from>
    <xdr:to>
      <xdr:col>21</xdr:col>
      <xdr:colOff>371474</xdr:colOff>
      <xdr:row>8</xdr:row>
      <xdr:rowOff>66691</xdr:rowOff>
    </xdr:to>
    <xdr:sp macro="" textlink="">
      <xdr:nvSpPr>
        <xdr:cNvPr id="14" name="Rectangle: Rounded Corners 13">
          <a:extLst>
            <a:ext uri="{FF2B5EF4-FFF2-40B4-BE49-F238E27FC236}">
              <a16:creationId xmlns:a16="http://schemas.microsoft.com/office/drawing/2014/main" id="{C8713F29-5B53-48AC-A8B6-E4A4510EF080}"/>
            </a:ext>
          </a:extLst>
        </xdr:cNvPr>
        <xdr:cNvSpPr/>
      </xdr:nvSpPr>
      <xdr:spPr>
        <a:xfrm>
          <a:off x="11410949" y="697706"/>
          <a:ext cx="1762125" cy="892985"/>
        </a:xfrm>
        <a:prstGeom prst="round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 TOTAL</a:t>
          </a:r>
          <a:r>
            <a:rPr lang="en-US" sz="1400" baseline="0"/>
            <a:t> RECOVERED</a:t>
          </a:r>
          <a:endParaRPr lang="en-US" sz="1400"/>
        </a:p>
      </xdr:txBody>
    </xdr:sp>
    <xdr:clientData/>
  </xdr:twoCellAnchor>
  <xdr:twoCellAnchor>
    <xdr:from>
      <xdr:col>22</xdr:col>
      <xdr:colOff>504825</xdr:colOff>
      <xdr:row>3</xdr:row>
      <xdr:rowOff>165675</xdr:rowOff>
    </xdr:from>
    <xdr:to>
      <xdr:col>25</xdr:col>
      <xdr:colOff>487680</xdr:colOff>
      <xdr:row>8</xdr:row>
      <xdr:rowOff>27222</xdr:rowOff>
    </xdr:to>
    <xdr:sp macro="" textlink="">
      <xdr:nvSpPr>
        <xdr:cNvPr id="15" name="Rectangle: Rounded Corners 14">
          <a:extLst>
            <a:ext uri="{FF2B5EF4-FFF2-40B4-BE49-F238E27FC236}">
              <a16:creationId xmlns:a16="http://schemas.microsoft.com/office/drawing/2014/main" id="{FF311BE8-57AF-46C4-AD04-A1CE93DF97A1}"/>
            </a:ext>
          </a:extLst>
        </xdr:cNvPr>
        <xdr:cNvSpPr/>
      </xdr:nvSpPr>
      <xdr:spPr>
        <a:xfrm>
          <a:off x="13916025" y="737175"/>
          <a:ext cx="1811655" cy="814047"/>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TOTAL ACTIVE CASES</a:t>
          </a:r>
        </a:p>
      </xdr:txBody>
    </xdr:sp>
    <xdr:clientData/>
  </xdr:twoCellAnchor>
  <xdr:twoCellAnchor>
    <xdr:from>
      <xdr:col>13</xdr:col>
      <xdr:colOff>352424</xdr:colOff>
      <xdr:row>5</xdr:row>
      <xdr:rowOff>95250</xdr:rowOff>
    </xdr:from>
    <xdr:to>
      <xdr:col>16</xdr:col>
      <xdr:colOff>314325</xdr:colOff>
      <xdr:row>7</xdr:row>
      <xdr:rowOff>85725</xdr:rowOff>
    </xdr:to>
    <xdr:sp macro="" textlink="PivotTables!$D$2">
      <xdr:nvSpPr>
        <xdr:cNvPr id="17" name="Rectangle 16">
          <a:extLst>
            <a:ext uri="{FF2B5EF4-FFF2-40B4-BE49-F238E27FC236}">
              <a16:creationId xmlns:a16="http://schemas.microsoft.com/office/drawing/2014/main" id="{88845E30-55D4-4453-BF3E-444D3BE4FAF8}"/>
            </a:ext>
          </a:extLst>
        </xdr:cNvPr>
        <xdr:cNvSpPr/>
      </xdr:nvSpPr>
      <xdr:spPr>
        <a:xfrm>
          <a:off x="8277224" y="1047750"/>
          <a:ext cx="1790701" cy="371475"/>
        </a:xfrm>
        <a:prstGeom prst="rect">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0FACFAC-8202-4AAF-A2EF-0A8D83E54A86}" type="TxLink">
            <a:rPr lang="en-US" sz="1800" b="0" i="0" u="none" strike="noStrike">
              <a:solidFill>
                <a:schemeClr val="tx1"/>
              </a:solidFill>
              <a:latin typeface="Calibri"/>
              <a:ea typeface="Calibri"/>
              <a:cs typeface="Calibri"/>
            </a:rPr>
            <a:pPr algn="ctr"/>
            <a:t> 712,997.00 </a:t>
          </a:fld>
          <a:endParaRPr lang="en-US" sz="1800">
            <a:solidFill>
              <a:schemeClr val="tx1"/>
            </a:solidFill>
          </a:endParaRPr>
        </a:p>
      </xdr:txBody>
    </xdr:sp>
    <xdr:clientData/>
  </xdr:twoCellAnchor>
  <xdr:twoCellAnchor>
    <xdr:from>
      <xdr:col>9</xdr:col>
      <xdr:colOff>104775</xdr:colOff>
      <xdr:row>5</xdr:row>
      <xdr:rowOff>133350</xdr:rowOff>
    </xdr:from>
    <xdr:to>
      <xdr:col>12</xdr:col>
      <xdr:colOff>0</xdr:colOff>
      <xdr:row>7</xdr:row>
      <xdr:rowOff>142875</xdr:rowOff>
    </xdr:to>
    <xdr:sp macro="" textlink="PivotTables!$A$2">
      <xdr:nvSpPr>
        <xdr:cNvPr id="16" name="Rectangle 15">
          <a:extLst>
            <a:ext uri="{FF2B5EF4-FFF2-40B4-BE49-F238E27FC236}">
              <a16:creationId xmlns:a16="http://schemas.microsoft.com/office/drawing/2014/main" id="{84E36CA0-03FF-4294-A967-3509467DAF5E}"/>
            </a:ext>
          </a:extLst>
        </xdr:cNvPr>
        <xdr:cNvSpPr/>
      </xdr:nvSpPr>
      <xdr:spPr>
        <a:xfrm>
          <a:off x="5591175" y="1085850"/>
          <a:ext cx="1724025" cy="390525"/>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CD78A89-09FC-446D-BBBD-01947E942123}" type="TxLink">
            <a:rPr lang="en-US" sz="1800" b="0" i="0" u="none" strike="noStrike">
              <a:solidFill>
                <a:srgbClr val="000000"/>
              </a:solidFill>
              <a:latin typeface="Calibri"/>
              <a:ea typeface="Calibri"/>
              <a:cs typeface="Calibri"/>
            </a:rPr>
            <a:pPr algn="ctr"/>
            <a:t> 19,168,488.00 </a:t>
          </a:fld>
          <a:endParaRPr lang="en-US" sz="1800"/>
        </a:p>
      </xdr:txBody>
    </xdr:sp>
    <xdr:clientData/>
  </xdr:twoCellAnchor>
  <xdr:twoCellAnchor>
    <xdr:from>
      <xdr:col>22</xdr:col>
      <xdr:colOff>590550</xdr:colOff>
      <xdr:row>5</xdr:row>
      <xdr:rowOff>104776</xdr:rowOff>
    </xdr:from>
    <xdr:to>
      <xdr:col>25</xdr:col>
      <xdr:colOff>390525</xdr:colOff>
      <xdr:row>8</xdr:row>
      <xdr:rowOff>9525</xdr:rowOff>
    </xdr:to>
    <xdr:sp macro="" textlink="PivotTables!$A$10">
      <xdr:nvSpPr>
        <xdr:cNvPr id="23" name="Rectangle 22">
          <a:extLst>
            <a:ext uri="{FF2B5EF4-FFF2-40B4-BE49-F238E27FC236}">
              <a16:creationId xmlns:a16="http://schemas.microsoft.com/office/drawing/2014/main" id="{59FEB128-50EC-4CCA-A08C-024AC409B9C2}"/>
            </a:ext>
          </a:extLst>
        </xdr:cNvPr>
        <xdr:cNvSpPr/>
      </xdr:nvSpPr>
      <xdr:spPr>
        <a:xfrm>
          <a:off x="14001750" y="1057276"/>
          <a:ext cx="1628775" cy="476249"/>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371D230-F79F-46C6-A7E6-F0D970CE3AE3}" type="TxLink">
            <a:rPr lang="en-US" sz="1800" b="0" i="0" u="none" strike="noStrike">
              <a:solidFill>
                <a:srgbClr val="000000"/>
              </a:solidFill>
              <a:latin typeface="Calibri"/>
              <a:ea typeface="Calibri"/>
              <a:cs typeface="Calibri"/>
            </a:rPr>
            <a:pPr algn="ctr"/>
            <a:t> 12,069,624.00 </a:t>
          </a:fld>
          <a:endParaRPr lang="en-US" sz="1800"/>
        </a:p>
      </xdr:txBody>
    </xdr:sp>
    <xdr:clientData/>
  </xdr:twoCellAnchor>
  <xdr:twoCellAnchor>
    <xdr:from>
      <xdr:col>18</xdr:col>
      <xdr:colOff>542925</xdr:colOff>
      <xdr:row>5</xdr:row>
      <xdr:rowOff>133350</xdr:rowOff>
    </xdr:from>
    <xdr:to>
      <xdr:col>21</xdr:col>
      <xdr:colOff>285750</xdr:colOff>
      <xdr:row>7</xdr:row>
      <xdr:rowOff>133347</xdr:rowOff>
    </xdr:to>
    <xdr:sp macro="" textlink="PivotTables!$D$13">
      <xdr:nvSpPr>
        <xdr:cNvPr id="25" name="Rectangle 24">
          <a:extLst>
            <a:ext uri="{FF2B5EF4-FFF2-40B4-BE49-F238E27FC236}">
              <a16:creationId xmlns:a16="http://schemas.microsoft.com/office/drawing/2014/main" id="{8609AA9B-8A42-4666-B3C3-C5EDCB7D1707}"/>
            </a:ext>
          </a:extLst>
        </xdr:cNvPr>
        <xdr:cNvSpPr/>
      </xdr:nvSpPr>
      <xdr:spPr>
        <a:xfrm>
          <a:off x="11515725" y="1085850"/>
          <a:ext cx="1571625" cy="380997"/>
        </a:xfrm>
        <a:prstGeom prst="rect">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7264C6D6-3B04-456B-B848-B9F3195E9EA1}" type="TxLink">
            <a:rPr lang="en-US" sz="1800" b="0" i="0" u="none" strike="noStrike">
              <a:solidFill>
                <a:srgbClr val="000000"/>
              </a:solidFill>
              <a:latin typeface="Calibri"/>
              <a:ea typeface="Calibri"/>
              <a:cs typeface="Calibri"/>
            </a:rPr>
            <a:pPr algn="r"/>
            <a:t> 5,824,502.00 </a:t>
          </a:fld>
          <a:endParaRPr lang="en-US" sz="1800"/>
        </a:p>
      </xdr:txBody>
    </xdr:sp>
    <xdr:clientData/>
  </xdr:twoCellAnchor>
  <xdr:twoCellAnchor>
    <xdr:from>
      <xdr:col>19</xdr:col>
      <xdr:colOff>152401</xdr:colOff>
      <xdr:row>25</xdr:row>
      <xdr:rowOff>104775</xdr:rowOff>
    </xdr:from>
    <xdr:to>
      <xdr:col>25</xdr:col>
      <xdr:colOff>523875</xdr:colOff>
      <xdr:row>44</xdr:row>
      <xdr:rowOff>142875</xdr:rowOff>
    </xdr:to>
    <xdr:graphicFrame macro="">
      <xdr:nvGraphicFramePr>
        <xdr:cNvPr id="22" name="Chart 21">
          <a:extLst>
            <a:ext uri="{FF2B5EF4-FFF2-40B4-BE49-F238E27FC236}">
              <a16:creationId xmlns:a16="http://schemas.microsoft.com/office/drawing/2014/main" id="{1F623246-5069-4ADD-ACF7-BB8D860FD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8</xdr:row>
      <xdr:rowOff>123824</xdr:rowOff>
    </xdr:from>
    <xdr:to>
      <xdr:col>11</xdr:col>
      <xdr:colOff>66675</xdr:colOff>
      <xdr:row>24</xdr:row>
      <xdr:rowOff>85725</xdr:rowOff>
    </xdr:to>
    <xdr:graphicFrame macro="">
      <xdr:nvGraphicFramePr>
        <xdr:cNvPr id="24" name="Chart 23">
          <a:extLst>
            <a:ext uri="{FF2B5EF4-FFF2-40B4-BE49-F238E27FC236}">
              <a16:creationId xmlns:a16="http://schemas.microsoft.com/office/drawing/2014/main" id="{5EA15E20-9C65-4FFE-A20C-A88FD61CE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28574</xdr:colOff>
      <xdr:row>25</xdr:row>
      <xdr:rowOff>104774</xdr:rowOff>
    </xdr:from>
    <xdr:to>
      <xdr:col>11</xdr:col>
      <xdr:colOff>76199</xdr:colOff>
      <xdr:row>44</xdr:row>
      <xdr:rowOff>152399</xdr:rowOff>
    </xdr:to>
    <xdr:graphicFrame macro="">
      <xdr:nvGraphicFramePr>
        <xdr:cNvPr id="27" name="Chart 26">
          <a:extLst>
            <a:ext uri="{FF2B5EF4-FFF2-40B4-BE49-F238E27FC236}">
              <a16:creationId xmlns:a16="http://schemas.microsoft.com/office/drawing/2014/main" id="{29DF792C-1CDD-440C-96E8-2B0E99BC6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95251</xdr:colOff>
      <xdr:row>8</xdr:row>
      <xdr:rowOff>123824</xdr:rowOff>
    </xdr:from>
    <xdr:to>
      <xdr:col>19</xdr:col>
      <xdr:colOff>142875</xdr:colOff>
      <xdr:row>24</xdr:row>
      <xdr:rowOff>85725</xdr:rowOff>
    </xdr:to>
    <xdr:graphicFrame macro="">
      <xdr:nvGraphicFramePr>
        <xdr:cNvPr id="30" name="Chart 29">
          <a:extLst>
            <a:ext uri="{FF2B5EF4-FFF2-40B4-BE49-F238E27FC236}">
              <a16:creationId xmlns:a16="http://schemas.microsoft.com/office/drawing/2014/main" id="{124FD05B-C2AD-4722-978F-93C43838C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190499</xdr:colOff>
      <xdr:row>8</xdr:row>
      <xdr:rowOff>114299</xdr:rowOff>
    </xdr:from>
    <xdr:to>
      <xdr:col>25</xdr:col>
      <xdr:colOff>523874</xdr:colOff>
      <xdr:row>24</xdr:row>
      <xdr:rowOff>85725</xdr:rowOff>
    </xdr:to>
    <xdr:graphicFrame macro="">
      <xdr:nvGraphicFramePr>
        <xdr:cNvPr id="32" name="Chart 31">
          <a:extLst>
            <a:ext uri="{FF2B5EF4-FFF2-40B4-BE49-F238E27FC236}">
              <a16:creationId xmlns:a16="http://schemas.microsoft.com/office/drawing/2014/main" id="{FB1F967E-047D-4D77-86D1-A1EB2E108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276224</xdr:colOff>
      <xdr:row>5</xdr:row>
      <xdr:rowOff>76200</xdr:rowOff>
    </xdr:from>
    <xdr:to>
      <xdr:col>7</xdr:col>
      <xdr:colOff>209549</xdr:colOff>
      <xdr:row>7</xdr:row>
      <xdr:rowOff>152400</xdr:rowOff>
    </xdr:to>
    <xdr:sp macro="" textlink="PivotTables!$AD$2">
      <xdr:nvSpPr>
        <xdr:cNvPr id="35" name="Rectangle: Rounded Corners 34">
          <a:extLst>
            <a:ext uri="{FF2B5EF4-FFF2-40B4-BE49-F238E27FC236}">
              <a16:creationId xmlns:a16="http://schemas.microsoft.com/office/drawing/2014/main" id="{D105A9BE-CDE3-4F06-AECA-AA89D38D073F}"/>
            </a:ext>
          </a:extLst>
        </xdr:cNvPr>
        <xdr:cNvSpPr/>
      </xdr:nvSpPr>
      <xdr:spPr>
        <a:xfrm>
          <a:off x="2714624" y="1028700"/>
          <a:ext cx="1762125" cy="457200"/>
        </a:xfrm>
        <a:prstGeom prst="round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0B5C44F-4238-4F19-AFF4-6C5ED0C6E562}" type="TxLink">
            <a:rPr lang="en-US" sz="1800" b="0" i="0" u="none" strike="noStrike">
              <a:solidFill>
                <a:srgbClr val="000000"/>
              </a:solidFill>
              <a:latin typeface="Calibri"/>
              <a:ea typeface="Calibri"/>
              <a:cs typeface="Calibri"/>
            </a:rPr>
            <a:pPr algn="ctr"/>
            <a:t> 267,768,109.00 </a:t>
          </a:fld>
          <a:endParaRPr lang="en-US" sz="1800"/>
        </a:p>
      </xdr:txBody>
    </xdr:sp>
    <xdr:clientData/>
  </xdr:twoCellAnchor>
  <xdr:twoCellAnchor>
    <xdr:from>
      <xdr:col>11</xdr:col>
      <xdr:colOff>114300</xdr:colOff>
      <xdr:row>25</xdr:row>
      <xdr:rowOff>104775</xdr:rowOff>
    </xdr:from>
    <xdr:to>
      <xdr:col>19</xdr:col>
      <xdr:colOff>114300</xdr:colOff>
      <xdr:row>44</xdr:row>
      <xdr:rowOff>142875</xdr:rowOff>
    </xdr:to>
    <xdr:graphicFrame macro="">
      <xdr:nvGraphicFramePr>
        <xdr:cNvPr id="34" name="Chart 33">
          <a:extLst>
            <a:ext uri="{FF2B5EF4-FFF2-40B4-BE49-F238E27FC236}">
              <a16:creationId xmlns:a16="http://schemas.microsoft.com/office/drawing/2014/main" id="{B79838DF-74A9-40D0-BC2D-9E3BEC5EC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23" refreshedDate="45913.096092476851" createdVersion="7" refreshedVersion="7" minRefreshableVersion="3" recordCount="188" xr:uid="{4121D9C9-E33D-492B-BEB0-F71A4AFABEF1}">
  <cacheSource type="worksheet">
    <worksheetSource ref="A1:P189" sheet="Calculations"/>
  </cacheSource>
  <cacheFields count="17">
    <cacheField name="Date" numFmtId="14">
      <sharedItems containsSemiMixedTypes="0" containsNonDate="0" containsDate="1" containsString="0" minDate="2020-01-22T00:00:00" maxDate="2020-07-28T00:00:00" count="188">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sharedItems>
      <fieldGroup par="16" base="0">
        <rangePr groupBy="days" startDate="2020-01-22T00:00:00" endDate="2020-07-28T00:00:00"/>
        <groupItems count="368">
          <s v="&lt;1/22/202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28/2020"/>
        </groupItems>
      </fieldGroup>
    </cacheField>
    <cacheField name="Country/Region" numFmtId="0">
      <sharedItems containsBlank="1" count="188">
        <s v="Afghanistan"/>
        <s v="Albania"/>
        <s v="Algeria"/>
        <s v="Andorra"/>
        <s v="Angola"/>
        <s v="Antigua and Barbuda"/>
        <s v="Argentina"/>
        <s v="Armenia"/>
        <s v="Australia"/>
        <s v="Austria"/>
        <s v="Azerbaijan"/>
        <s v="Bahamas"/>
        <s v="Bahrain"/>
        <s v="Bangladesh"/>
        <s v="Barbados"/>
        <s v="Belarus"/>
        <s v=" "/>
        <s v="Belize"/>
        <s v="Benin"/>
        <s v="Bhutan"/>
        <s v="Bolivia"/>
        <s v="Bosnia and Herzegovina"/>
        <s v="Botswana"/>
        <s v="Brazil"/>
        <s v="Brunei"/>
        <s v="Bulgaria"/>
        <s v="Burkina Faso"/>
        <s v="Burma"/>
        <s v="Burundi"/>
        <s v="Cabo Verde"/>
        <s v="Cambodia"/>
        <s v="Cameroon"/>
        <s v="Canada"/>
        <s v="Central African Republic"/>
        <s v="Chad"/>
        <s v="Chile"/>
        <s v="China"/>
        <s v="Colombia"/>
        <s v="Comoros"/>
        <s v="Congo (Brazzaville)"/>
        <s v="Congo (Kinshasa)"/>
        <s v="Costa Rica"/>
        <s v="Cote d'Ivoire"/>
        <s v="Croatia"/>
        <s v="Cuba"/>
        <s v="Cyprus"/>
        <s v="Czechia"/>
        <s v="Denmark"/>
        <s v="Djibouti"/>
        <s v="Dominica"/>
        <s v="Dominican Republic"/>
        <s v="Ecuador"/>
        <s v="Egypt"/>
        <s v="El Salvador"/>
        <s v="Equatorial Guinea"/>
        <s v="Eritrea"/>
        <s v="Estonia"/>
        <s v="Eswatini"/>
        <s v="Ethiopia"/>
        <s v="Fiji"/>
        <s v="Finland"/>
        <s v="France"/>
        <s v="Gabon"/>
        <s v="Gambia"/>
        <s v="Georgia"/>
        <s v="Germany"/>
        <s v="Ghana"/>
        <s v="Greece"/>
        <s v="Greenland"/>
        <s v="Grenada"/>
        <s v="Guatemala"/>
        <s v="Guinea"/>
        <s v="Guinea-Bissau"/>
        <s v="Guyana"/>
        <s v="Haiti"/>
        <s v="Holy See"/>
        <s v="Honduras"/>
        <s v="Hungary"/>
        <s v="Iceland"/>
        <s v="India"/>
        <s v="Indonesia"/>
        <s v="Iran"/>
        <s v="Iraq"/>
        <s v="Ireland"/>
        <s v="Israel"/>
        <s v="Italy"/>
        <s v="Jamaica"/>
        <s v="Japan"/>
        <s v="Jordan"/>
        <s v="Kazakhstan"/>
        <s v="Kenya"/>
        <s v="Kosovo"/>
        <s v="Kuwait"/>
        <s v="Kyrgyzstan"/>
        <s v="Laos"/>
        <s v="Latvia"/>
        <s v="Lebanon"/>
        <s v="Lesotho"/>
        <s v="Liberia"/>
        <s v="Libya"/>
        <s v="Liechtenstein"/>
        <s v="Lithuania"/>
        <s v="Luxembourg"/>
        <s v="Madagascar"/>
        <s v="Malawi"/>
        <s v="Malaysia"/>
        <s v="Maldives"/>
        <s v="Mali"/>
        <s v="Malta"/>
        <s v="Mauritania"/>
        <s v="Mauritius"/>
        <s v="Mexico"/>
        <s v="Moldova"/>
        <s v="Monaco"/>
        <s v="Mongolia"/>
        <s v="Montenegro"/>
        <s v="Morocco"/>
        <s v="Mozambique"/>
        <s v="Namibia"/>
        <s v="Nepal"/>
        <s v="Netherlands"/>
        <s v="New Zealand"/>
        <s v="Nicaragua"/>
        <s v="Niger"/>
        <s v="Nigeria"/>
        <s v="North Macedonia"/>
        <s v="Norway"/>
        <s v="Oman"/>
        <s v="Pakistan"/>
        <s v="Panama"/>
        <s v="Papua New Guinea"/>
        <s v="Paraguay"/>
        <s v="Peru"/>
        <s v="Philippines"/>
        <s v="Poland"/>
        <s v="Portugal"/>
        <s v="Qatar"/>
        <s v="Romania"/>
        <s v="Russia"/>
        <s v="Rwanda"/>
        <s v="Saint Kitts and Nevis"/>
        <s v="Saint Lucia"/>
        <s v="Saint Vincent and the Grenadines"/>
        <s v="San Marino"/>
        <s v="Sao Tome and Principe"/>
        <s v="Saudi Arabia"/>
        <s v="Senegal"/>
        <s v="Serbia"/>
        <s v="Seychelles"/>
        <s v="Sierra Leone"/>
        <s v="Singapore"/>
        <s v="Slovakia"/>
        <s v="Slovenia"/>
        <s v="Somalia"/>
        <s v="South Africa"/>
        <s v="South Korea"/>
        <s v="South Sudan"/>
        <s v="Spain"/>
        <s v="Sri Lanka"/>
        <s v="Sudan"/>
        <s v="Suriname"/>
        <s v="Sweden"/>
        <s v="Switzerland"/>
        <s v="Syria"/>
        <s v="Taiwan*"/>
        <s v="Tajikistan"/>
        <s v="Tanzania"/>
        <s v="Thailand"/>
        <s v="Timor-Leste"/>
        <s v="Togo"/>
        <s v="Trinidad and Tobago"/>
        <s v="Tunisia"/>
        <s v="Turkey"/>
        <s v="US"/>
        <s v="Uganda"/>
        <s v="Ukraine"/>
        <s v="United Arab Emirates"/>
        <s v="United Kingdom"/>
        <s v="Uruguay"/>
        <s v="Uzbekistan"/>
        <s v="Venezuela"/>
        <s v="Vietnam"/>
        <s v="West Bank and Gaza"/>
        <s v="Western Sahara"/>
        <s v="Yemen"/>
        <s v="Zambia"/>
        <s v="Zimbabwe"/>
        <m u="1"/>
      </sharedItems>
    </cacheField>
    <cacheField name="Population" numFmtId="0">
      <sharedItems containsSemiMixedTypes="0" containsString="0" containsNumber="1" containsInteger="1" minValue="0" maxValue="1381344997"/>
    </cacheField>
    <cacheField name="New cases" numFmtId="0">
      <sharedItems containsSemiMixedTypes="0" containsString="0" containsNumber="1" containsInteger="1" minValue="0" maxValue="282756"/>
    </cacheField>
    <cacheField name="New deaths" numFmtId="0">
      <sharedItems containsSemiMixedTypes="0" containsString="0" containsNumber="1" containsInteger="1" minValue="0" maxValue="9966"/>
    </cacheField>
    <cacheField name="WHO Region" numFmtId="0">
      <sharedItems containsBlank="1" count="7">
        <s v="Eastern Mediterranean"/>
        <s v="Europe"/>
        <s v="Africa"/>
        <s v="Americas"/>
        <s v="Western Pacific"/>
        <s v="South-East Asia"/>
        <m u="1"/>
      </sharedItems>
    </cacheField>
    <cacheField name="TotalCases" numFmtId="0">
      <sharedItems containsSemiMixedTypes="0" containsString="0" containsNumber="1" containsInteger="1" minValue="92" maxValue="5032179"/>
    </cacheField>
    <cacheField name="TotalDeaths" numFmtId="0">
      <sharedItems containsSemiMixedTypes="0" containsString="0" containsNumber="1" containsInteger="1" minValue="0" maxValue="162804"/>
    </cacheField>
    <cacheField name="TotalRecovered" numFmtId="0">
      <sharedItems containsSemiMixedTypes="0" containsString="0" containsNumber="1" containsInteger="1" minValue="0" maxValue="2576668"/>
    </cacheField>
    <cacheField name="ActiveCases" numFmtId="0">
      <sharedItems containsSemiMixedTypes="0" containsString="0" containsNumber="1" containsInteger="1" minValue="0" maxValue="2292707"/>
    </cacheField>
    <cacheField name="Serious,Critical" numFmtId="0">
      <sharedItems containsSemiMixedTypes="0" containsString="0" containsNumber="1" containsInteger="1" minValue="0" maxValue="18296"/>
    </cacheField>
    <cacheField name="Total Cases/1M pop" numFmtId="0">
      <sharedItems containsSemiMixedTypes="0" containsString="0" containsNumber="1" containsInteger="1" minValue="0" maxValue="39922"/>
    </cacheField>
    <cacheField name="Deaths/1M pop" numFmtId="0">
      <sharedItems containsSemiMixedTypes="0" containsString="0" containsNumber="1" minValue="0" maxValue="1238"/>
    </cacheField>
    <cacheField name="TotalTests" numFmtId="0">
      <sharedItems containsSemiMixedTypes="0" containsString="0" containsNumber="1" containsInteger="1" minValue="0" maxValue="63139605"/>
    </cacheField>
    <cacheField name="Tests/1M pop" numFmtId="0">
      <sharedItems containsSemiMixedTypes="0" containsString="0" containsNumber="1" containsInteger="1" minValue="0" maxValue="995282"/>
    </cacheField>
    <cacheField name="Continent" numFmtId="0">
      <sharedItems count="6">
        <s v="North America"/>
        <s v="South America"/>
        <s v="Asia"/>
        <s v="Europe"/>
        <s v="Africa"/>
        <s v="Australia/Oceania"/>
      </sharedItems>
    </cacheField>
    <cacheField name="Months" numFmtId="0" databaseField="0">
      <fieldGroup base="0">
        <rangePr groupBy="months" startDate="2020-01-22T00:00:00" endDate="2020-07-28T00:00:00"/>
        <groupItems count="14">
          <s v="&lt;1/22/2020"/>
          <s v="Jan"/>
          <s v="Feb"/>
          <s v="Mar"/>
          <s v="Apr"/>
          <s v="May"/>
          <s v="Jun"/>
          <s v="Jul"/>
          <s v="Aug"/>
          <s v="Sep"/>
          <s v="Oct"/>
          <s v="Nov"/>
          <s v="Dec"/>
          <s v="&gt;7/28/2020"/>
        </groupItems>
      </fieldGroup>
    </cacheField>
  </cacheFields>
  <extLst>
    <ext xmlns:x14="http://schemas.microsoft.com/office/spreadsheetml/2009/9/main" uri="{725AE2AE-9491-48be-B2B4-4EB974FC3084}">
      <x14:pivotCacheDefinition pivotCacheId="140549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8">
  <r>
    <x v="0"/>
    <x v="0"/>
    <n v="331198130"/>
    <n v="0"/>
    <n v="0"/>
    <x v="0"/>
    <n v="5032179"/>
    <n v="162804"/>
    <n v="2576668"/>
    <n v="2292707"/>
    <n v="18296"/>
    <n v="15194"/>
    <n v="492"/>
    <n v="63139605"/>
    <n v="190640"/>
    <x v="0"/>
  </r>
  <r>
    <x v="1"/>
    <x v="1"/>
    <n v="212710692"/>
    <n v="99"/>
    <n v="1"/>
    <x v="1"/>
    <n v="2917562"/>
    <n v="98644"/>
    <n v="2047660"/>
    <n v="771258"/>
    <n v="8318"/>
    <n v="13716"/>
    <n v="464"/>
    <n v="13206188"/>
    <n v="62085"/>
    <x v="1"/>
  </r>
  <r>
    <x v="2"/>
    <x v="2"/>
    <n v="1381344997"/>
    <n v="287"/>
    <n v="8"/>
    <x v="2"/>
    <n v="2025409"/>
    <n v="41638"/>
    <n v="1377384"/>
    <n v="606387"/>
    <n v="8944"/>
    <n v="1466"/>
    <n v="30"/>
    <n v="22149351"/>
    <n v="16035"/>
    <x v="2"/>
  </r>
  <r>
    <x v="3"/>
    <x v="3"/>
    <n v="145940924"/>
    <n v="493"/>
    <n v="16"/>
    <x v="1"/>
    <n v="871894"/>
    <n v="14606"/>
    <n v="676357"/>
    <n v="180931"/>
    <n v="2300"/>
    <n v="5974"/>
    <n v="100"/>
    <n v="29716907"/>
    <n v="203623"/>
    <x v="3"/>
  </r>
  <r>
    <x v="4"/>
    <x v="4"/>
    <n v="59381566"/>
    <n v="684"/>
    <n v="14"/>
    <x v="2"/>
    <n v="538184"/>
    <n v="9604"/>
    <n v="387316"/>
    <n v="141264"/>
    <n v="539"/>
    <n v="9063"/>
    <n v="162"/>
    <n v="3149807"/>
    <n v="53044"/>
    <x v="4"/>
  </r>
  <r>
    <x v="5"/>
    <x v="5"/>
    <n v="129066160"/>
    <n v="809"/>
    <n v="26"/>
    <x v="3"/>
    <n v="462690"/>
    <n v="50517"/>
    <n v="308848"/>
    <n v="103325"/>
    <n v="3987"/>
    <n v="3585"/>
    <n v="391"/>
    <n v="1056915"/>
    <n v="8189"/>
    <x v="0"/>
  </r>
  <r>
    <x v="6"/>
    <x v="6"/>
    <n v="33016319"/>
    <n v="2651"/>
    <n v="49"/>
    <x v="3"/>
    <n v="455409"/>
    <n v="20424"/>
    <n v="310337"/>
    <n v="124648"/>
    <n v="1426"/>
    <n v="13793"/>
    <n v="619"/>
    <n v="2493429"/>
    <n v="75521"/>
    <x v="1"/>
  </r>
  <r>
    <x v="7"/>
    <x v="7"/>
    <n v="19132514"/>
    <n v="588"/>
    <n v="2"/>
    <x v="1"/>
    <n v="366671"/>
    <n v="9889"/>
    <n v="340168"/>
    <n v="16614"/>
    <n v="1358"/>
    <n v="19165"/>
    <n v="517"/>
    <n v="1760615"/>
    <n v="92022"/>
    <x v="1"/>
  </r>
  <r>
    <x v="8"/>
    <x v="8"/>
    <n v="50936262"/>
    <n v="2068"/>
    <n v="38"/>
    <x v="4"/>
    <n v="357710"/>
    <n v="11939"/>
    <n v="192355"/>
    <n v="153416"/>
    <n v="1493"/>
    <n v="7023"/>
    <n v="234"/>
    <n v="1801835"/>
    <n v="35374"/>
    <x v="1"/>
  </r>
  <r>
    <x v="9"/>
    <x v="9"/>
    <n v="46756648"/>
    <n v="1693"/>
    <n v="42"/>
    <x v="1"/>
    <n v="354530"/>
    <n v="28500"/>
    <n v="0"/>
    <n v="153416"/>
    <n v="617"/>
    <n v="7582"/>
    <n v="610"/>
    <n v="7064329"/>
    <n v="151087"/>
    <x v="3"/>
  </r>
  <r>
    <x v="10"/>
    <x v="10"/>
    <n v="84097623"/>
    <n v="2111"/>
    <n v="46"/>
    <x v="1"/>
    <n v="320117"/>
    <n v="17976"/>
    <n v="277463"/>
    <n v="24678"/>
    <n v="4156"/>
    <n v="3806"/>
    <n v="214"/>
    <n v="2612763"/>
    <n v="31068"/>
    <x v="2"/>
  </r>
  <r>
    <x v="11"/>
    <x v="11"/>
    <n v="67922029"/>
    <n v="4749"/>
    <n v="103"/>
    <x v="3"/>
    <n v="308134"/>
    <n v="46413"/>
    <n v="0"/>
    <n v="0"/>
    <n v="73"/>
    <n v="4537"/>
    <n v="683"/>
    <n v="17515234"/>
    <n v="257873"/>
    <x v="3"/>
  </r>
  <r>
    <x v="12"/>
    <x v="12"/>
    <n v="34865919"/>
    <n v="3100"/>
    <n v="64"/>
    <x v="0"/>
    <n v="284226"/>
    <n v="3055"/>
    <n v="247089"/>
    <n v="34082"/>
    <n v="1915"/>
    <n v="8152"/>
    <n v="88"/>
    <n v="3635705"/>
    <n v="104277"/>
    <x v="2"/>
  </r>
  <r>
    <x v="13"/>
    <x v="13"/>
    <n v="221295851"/>
    <n v="4011"/>
    <n v="66"/>
    <x v="5"/>
    <n v="281863"/>
    <n v="6035"/>
    <n v="256058"/>
    <n v="19770"/>
    <n v="809"/>
    <n v="1274"/>
    <n v="27"/>
    <n v="2058872"/>
    <n v="9304"/>
    <x v="2"/>
  </r>
  <r>
    <x v="14"/>
    <x v="14"/>
    <n v="164851401"/>
    <n v="3745"/>
    <n v="72"/>
    <x v="3"/>
    <n v="249651"/>
    <n v="3306"/>
    <n v="143824"/>
    <n v="102521"/>
    <n v="0"/>
    <n v="1514"/>
    <n v="20"/>
    <n v="1225124"/>
    <n v="7432"/>
    <x v="2"/>
  </r>
  <r>
    <x v="15"/>
    <x v="15"/>
    <n v="60452568"/>
    <n v="3159"/>
    <n v="70"/>
    <x v="1"/>
    <n v="249204"/>
    <n v="35187"/>
    <n v="201323"/>
    <n v="12694"/>
    <n v="42"/>
    <n v="4122"/>
    <n v="582"/>
    <n v="7099713"/>
    <n v="117443"/>
    <x v="3"/>
  </r>
  <r>
    <x v="16"/>
    <x v="16"/>
    <n v="84428331"/>
    <n v="3532"/>
    <n v="85"/>
    <x v="1"/>
    <n v="237265"/>
    <n v="5798"/>
    <n v="220546"/>
    <n v="10921"/>
    <n v="580"/>
    <n v="2810"/>
    <n v="69"/>
    <n v="5081802"/>
    <n v="60191"/>
    <x v="2"/>
  </r>
  <r>
    <x v="17"/>
    <x v="17"/>
    <n v="45236884"/>
    <n v="2734"/>
    <n v="87"/>
    <x v="3"/>
    <n v="228195"/>
    <n v="4251"/>
    <n v="99852"/>
    <n v="124092"/>
    <n v="1150"/>
    <n v="5044"/>
    <n v="94"/>
    <n v="794544"/>
    <n v="17564"/>
    <x v="1"/>
  </r>
  <r>
    <x v="18"/>
    <x v="18"/>
    <n v="83811260"/>
    <n v="3027"/>
    <n v="100"/>
    <x v="2"/>
    <n v="215210"/>
    <n v="9252"/>
    <n v="196200"/>
    <n v="9758"/>
    <n v="236"/>
    <n v="2568"/>
    <n v="110"/>
    <n v="8586648"/>
    <n v="102452"/>
    <x v="3"/>
  </r>
  <r>
    <x v="19"/>
    <x v="19"/>
    <n v="65288306"/>
    <n v="2538"/>
    <n v="107"/>
    <x v="5"/>
    <n v="195633"/>
    <n v="30312"/>
    <n v="82460"/>
    <n v="82861"/>
    <n v="384"/>
    <n v="2996"/>
    <n v="464"/>
    <n v="3992206"/>
    <n v="61147"/>
    <x v="3"/>
  </r>
  <r>
    <x v="20"/>
    <x v="20"/>
    <n v="40306025"/>
    <n v="2042"/>
    <n v="100"/>
    <x v="3"/>
    <n v="140603"/>
    <n v="5161"/>
    <n v="101025"/>
    <n v="34417"/>
    <n v="517"/>
    <n v="3488"/>
    <n v="128"/>
    <n v="1092741"/>
    <n v="27111"/>
    <x v="2"/>
  </r>
  <r>
    <x v="21"/>
    <x v="21"/>
    <n v="109722719"/>
    <n v="1886"/>
    <n v="5"/>
    <x v="1"/>
    <n v="119460"/>
    <n v="2150"/>
    <n v="66837"/>
    <n v="50473"/>
    <n v="239"/>
    <n v="1089"/>
    <n v="20"/>
    <n v="1669996"/>
    <n v="15220"/>
    <x v="2"/>
  </r>
  <r>
    <x v="22"/>
    <x v="22"/>
    <n v="273808365"/>
    <n v="13645"/>
    <n v="253"/>
    <x v="2"/>
    <n v="118753"/>
    <n v="5521"/>
    <n v="75645"/>
    <n v="37587"/>
    <n v="0"/>
    <n v="434"/>
    <n v="20"/>
    <n v="1633156"/>
    <n v="5965"/>
    <x v="2"/>
  </r>
  <r>
    <x v="23"/>
    <x v="23"/>
    <n v="37775022"/>
    <n v="6484"/>
    <n v="152"/>
    <x v="3"/>
    <n v="118561"/>
    <n v="8966"/>
    <n v="103106"/>
    <n v="6489"/>
    <n v="2263"/>
    <n v="3139"/>
    <n v="237"/>
    <n v="4319172"/>
    <n v="114339"/>
    <x v="0"/>
  </r>
  <r>
    <x v="24"/>
    <x v="24"/>
    <n v="2807805"/>
    <n v="2075"/>
    <n v="143"/>
    <x v="4"/>
    <n v="112092"/>
    <n v="178"/>
    <n v="108831"/>
    <n v="3083"/>
    <n v="77"/>
    <n v="39922"/>
    <n v="63"/>
    <n v="511000"/>
    <n v="181993"/>
    <x v="2"/>
  </r>
  <r>
    <x v="25"/>
    <x v="25"/>
    <n v="18798667"/>
    <n v="2114"/>
    <n v="104"/>
    <x v="1"/>
    <n v="95942"/>
    <n v="1058"/>
    <n v="68871"/>
    <n v="26013"/>
    <n v="221"/>
    <n v="5104"/>
    <n v="56"/>
    <n v="2163713"/>
    <n v="115099"/>
    <x v="2"/>
  </r>
  <r>
    <x v="26"/>
    <x v="26"/>
    <n v="102516525"/>
    <n v="1936"/>
    <n v="98"/>
    <x v="2"/>
    <n v="95006"/>
    <n v="4951"/>
    <n v="48898"/>
    <n v="41157"/>
    <n v="41"/>
    <n v="927"/>
    <n v="48"/>
    <n v="135000"/>
    <n v="1317"/>
    <x v="4"/>
  </r>
  <r>
    <x v="27"/>
    <x v="27"/>
    <n v="17668824"/>
    <n v="1794"/>
    <n v="140"/>
    <x v="5"/>
    <n v="90537"/>
    <n v="5877"/>
    <n v="71318"/>
    <n v="13342"/>
    <n v="378"/>
    <n v="5124"/>
    <n v="333"/>
    <n v="258582"/>
    <n v="14635"/>
    <x v="1"/>
  </r>
  <r>
    <x v="28"/>
    <x v="28"/>
    <n v="11688459"/>
    <n v="421"/>
    <n v="115"/>
    <x v="2"/>
    <n v="86423"/>
    <n v="3465"/>
    <n v="27373"/>
    <n v="55585"/>
    <n v="71"/>
    <n v="7394"/>
    <n v="296"/>
    <n v="183583"/>
    <n v="15706"/>
    <x v="1"/>
  </r>
  <r>
    <x v="29"/>
    <x v="29"/>
    <n v="10105596"/>
    <n v="547"/>
    <n v="123"/>
    <x v="2"/>
    <n v="81967"/>
    <n v="5766"/>
    <n v="0"/>
    <n v="0"/>
    <n v="38"/>
    <n v="8111"/>
    <n v="571"/>
    <n v="863315"/>
    <n v="85429"/>
    <x v="3"/>
  </r>
  <r>
    <x v="30"/>
    <x v="30"/>
    <n v="5118446"/>
    <n v="629"/>
    <n v="4"/>
    <x v="4"/>
    <n v="80713"/>
    <n v="492"/>
    <n v="70910"/>
    <n v="9311"/>
    <n v="177"/>
    <n v="15769"/>
    <n v="96"/>
    <n v="309212"/>
    <n v="60411"/>
    <x v="2"/>
  </r>
  <r>
    <x v="31"/>
    <x v="31"/>
    <n v="9197590"/>
    <n v="1761"/>
    <n v="207"/>
    <x v="2"/>
    <n v="79559"/>
    <n v="576"/>
    <n v="53427"/>
    <n v="25556"/>
    <n v="358"/>
    <n v="8650"/>
    <n v="63"/>
    <n v="1872453"/>
    <n v="203581"/>
    <x v="2"/>
  </r>
  <r>
    <x v="32"/>
    <x v="32"/>
    <n v="43705858"/>
    <n v="323"/>
    <n v="10"/>
    <x v="3"/>
    <n v="76808"/>
    <n v="1819"/>
    <n v="42524"/>
    <n v="32465"/>
    <n v="158"/>
    <n v="1757"/>
    <n v="42"/>
    <n v="1116641"/>
    <n v="25549"/>
    <x v="3"/>
  </r>
  <r>
    <x v="33"/>
    <x v="33"/>
    <n v="10858648"/>
    <n v="564"/>
    <n v="160"/>
    <x v="2"/>
    <n v="76536"/>
    <n v="1246"/>
    <n v="40539"/>
    <n v="34751"/>
    <n v="317"/>
    <n v="7048"/>
    <n v="115"/>
    <n v="281926"/>
    <n v="25963"/>
    <x v="0"/>
  </r>
  <r>
    <x v="34"/>
    <x v="34"/>
    <n v="4321282"/>
    <n v="853"/>
    <n v="80"/>
    <x v="2"/>
    <n v="71418"/>
    <n v="1574"/>
    <n v="45658"/>
    <n v="24186"/>
    <n v="161"/>
    <n v="16527"/>
    <n v="364"/>
    <n v="240995"/>
    <n v="55769"/>
    <x v="0"/>
  </r>
  <r>
    <x v="35"/>
    <x v="35"/>
    <n v="11594739"/>
    <n v="963"/>
    <n v="60"/>
    <x v="3"/>
    <n v="71158"/>
    <n v="9859"/>
    <n v="17661"/>
    <n v="43638"/>
    <n v="61"/>
    <n v="6137"/>
    <n v="850"/>
    <n v="1767120"/>
    <n v="152407"/>
    <x v="3"/>
  </r>
  <r>
    <x v="36"/>
    <x v="36"/>
    <n v="4276658"/>
    <n v="1364"/>
    <n v="43"/>
    <x v="4"/>
    <n v="70045"/>
    <n v="469"/>
    <n v="61610"/>
    <n v="7966"/>
    <n v="127"/>
    <n v="16378"/>
    <n v="110"/>
    <n v="522200"/>
    <n v="122105"/>
    <x v="2"/>
  </r>
  <r>
    <x v="37"/>
    <x v="37"/>
    <n v="9449001"/>
    <n v="1377"/>
    <n v="57"/>
    <x v="3"/>
    <n v="68503"/>
    <n v="580"/>
    <n v="63756"/>
    <n v="4167"/>
    <n v="0"/>
    <n v="7250"/>
    <n v="61"/>
    <n v="1344303"/>
    <n v="142269"/>
    <x v="3"/>
  </r>
  <r>
    <x v="38"/>
    <x v="38"/>
    <n v="9902079"/>
    <n v="1895"/>
    <n v="69"/>
    <x v="2"/>
    <n v="61845"/>
    <n v="354"/>
    <n v="55739"/>
    <n v="5752"/>
    <n v="0"/>
    <n v="6246"/>
    <n v="36"/>
    <n v="5262658"/>
    <n v="531470"/>
    <x v="2"/>
  </r>
  <r>
    <x v="39"/>
    <x v="39"/>
    <n v="19224023"/>
    <n v="2384"/>
    <n v="54"/>
    <x v="2"/>
    <n v="57895"/>
    <n v="2566"/>
    <n v="28992"/>
    <n v="26337"/>
    <n v="458"/>
    <n v="3012"/>
    <n v="133"/>
    <n v="1319369"/>
    <n v="68631"/>
    <x v="3"/>
  </r>
  <r>
    <x v="40"/>
    <x v="40"/>
    <n v="17138756"/>
    <n v="1974"/>
    <n v="89"/>
    <x v="2"/>
    <n v="56982"/>
    <n v="6153"/>
    <n v="0"/>
    <n v="0"/>
    <n v="37"/>
    <n v="3325"/>
    <n v="359"/>
    <n v="1079860"/>
    <n v="63007"/>
    <x v="3"/>
  </r>
  <r>
    <x v="41"/>
    <x v="41"/>
    <n v="5854932"/>
    <n v="2577"/>
    <n v="75"/>
    <x v="3"/>
    <n v="54555"/>
    <n v="27"/>
    <n v="48031"/>
    <n v="6497"/>
    <n v="0"/>
    <n v="9318"/>
    <n v="5"/>
    <n v="1474372"/>
    <n v="251817"/>
    <x v="2"/>
  </r>
  <r>
    <x v="42"/>
    <x v="42"/>
    <n v="17946899"/>
    <n v="2299"/>
    <n v="95"/>
    <x v="2"/>
    <n v="54339"/>
    <n v="2119"/>
    <n v="42070"/>
    <n v="10150"/>
    <n v="5"/>
    <n v="3028"/>
    <n v="118"/>
    <n v="172712"/>
    <n v="9624"/>
    <x v="0"/>
  </r>
  <r>
    <x v="43"/>
    <x v="43"/>
    <n v="10193593"/>
    <n v="2791"/>
    <n v="93"/>
    <x v="1"/>
    <n v="52061"/>
    <n v="1743"/>
    <n v="37840"/>
    <n v="12478"/>
    <n v="42"/>
    <n v="5107"/>
    <n v="171"/>
    <n v="1705474"/>
    <n v="167308"/>
    <x v="3"/>
  </r>
  <r>
    <x v="44"/>
    <x v="44"/>
    <n v="37842302"/>
    <n v="3943"/>
    <n v="112"/>
    <x v="3"/>
    <n v="49515"/>
    <n v="1774"/>
    <n v="35642"/>
    <n v="12099"/>
    <n v="72"/>
    <n v="1308"/>
    <n v="47"/>
    <n v="2374686"/>
    <n v="62752"/>
    <x v="3"/>
  </r>
  <r>
    <x v="45"/>
    <x v="45"/>
    <n v="206606300"/>
    <n v="4038"/>
    <n v="99"/>
    <x v="1"/>
    <n v="45244"/>
    <n v="930"/>
    <n v="32430"/>
    <n v="11884"/>
    <n v="7"/>
    <n v="219"/>
    <n v="5"/>
    <n v="306894"/>
    <n v="1485"/>
    <x v="4"/>
  </r>
  <r>
    <x v="46"/>
    <x v="46"/>
    <n v="9919704"/>
    <n v="3954"/>
    <n v="244"/>
    <x v="1"/>
    <n v="45098"/>
    <n v="1423"/>
    <n v="6116"/>
    <n v="37559"/>
    <n v="52"/>
    <n v="4546"/>
    <n v="143"/>
    <n v="109292"/>
    <n v="11018"/>
    <x v="0"/>
  </r>
  <r>
    <x v="47"/>
    <x v="47"/>
    <n v="1706669"/>
    <n v="3900"/>
    <n v="184"/>
    <x v="1"/>
    <n v="42889"/>
    <n v="156"/>
    <n v="39945"/>
    <n v="2788"/>
    <n v="41"/>
    <n v="25130"/>
    <n v="91"/>
    <n v="876700"/>
    <n v="513691"/>
    <x v="2"/>
  </r>
  <r>
    <x v="48"/>
    <x v="48"/>
    <n v="126435859"/>
    <n v="5024"/>
    <n v="279"/>
    <x v="0"/>
    <n v="42263"/>
    <n v="1026"/>
    <n v="28877"/>
    <n v="12360"/>
    <n v="115"/>
    <n v="334"/>
    <n v="8"/>
    <n v="938739"/>
    <n v="7425"/>
    <x v="2"/>
  </r>
  <r>
    <x v="49"/>
    <x v="49"/>
    <n v="2963811"/>
    <n v="7663"/>
    <n v="344"/>
    <x v="3"/>
    <n v="39819"/>
    <n v="772"/>
    <n v="31556"/>
    <n v="7491"/>
    <n v="0"/>
    <n v="13435"/>
    <n v="260"/>
    <n v="171600"/>
    <n v="57898"/>
    <x v="2"/>
  </r>
  <r>
    <x v="50"/>
    <x v="50"/>
    <n v="31133483"/>
    <n v="5750"/>
    <n v="305"/>
    <x v="3"/>
    <n v="39642"/>
    <n v="199"/>
    <n v="36384"/>
    <n v="3059"/>
    <n v="7"/>
    <n v="1273"/>
    <n v="6"/>
    <n v="405817"/>
    <n v="13035"/>
    <x v="4"/>
  </r>
  <r>
    <x v="51"/>
    <x v="51"/>
    <n v="6534479"/>
    <n v="14405"/>
    <n v="497"/>
    <x v="3"/>
    <n v="38659"/>
    <n v="1447"/>
    <n v="30099"/>
    <n v="7113"/>
    <n v="24"/>
    <n v="5916"/>
    <n v="221"/>
    <n v="267718"/>
    <n v="40970"/>
    <x v="2"/>
  </r>
  <r>
    <x v="52"/>
    <x v="52"/>
    <n v="39009447"/>
    <n v="11106"/>
    <n v="417"/>
    <x v="0"/>
    <n v="36896"/>
    <n v="1298"/>
    <n v="25840"/>
    <n v="9758"/>
    <n v="31"/>
    <n v="946"/>
    <n v="33"/>
    <n v="90396"/>
    <n v="2317"/>
    <x v="2"/>
  </r>
  <r>
    <x v="53"/>
    <x v="53"/>
    <n v="8660952"/>
    <n v="11146"/>
    <n v="641"/>
    <x v="3"/>
    <n v="36108"/>
    <n v="1985"/>
    <n v="31600"/>
    <n v="2523"/>
    <n v="23"/>
    <n v="4169"/>
    <n v="229"/>
    <n v="822764"/>
    <n v="94997"/>
    <x v="3"/>
  </r>
  <r>
    <x v="54"/>
    <x v="54"/>
    <n v="43926079"/>
    <n v="14659"/>
    <n v="680"/>
    <x v="2"/>
    <n v="33626"/>
    <n v="1273"/>
    <n v="23238"/>
    <n v="9115"/>
    <n v="57"/>
    <n v="766"/>
    <n v="29"/>
    <n v="0"/>
    <n v="0"/>
    <x v="4"/>
  </r>
  <r>
    <x v="55"/>
    <x v="55"/>
    <n v="10148243"/>
    <n v="15838"/>
    <n v="804"/>
    <x v="2"/>
    <n v="33247"/>
    <n v="479"/>
    <n v="29275"/>
    <n v="3493"/>
    <n v="66"/>
    <n v="3276"/>
    <n v="47"/>
    <n v="766179"/>
    <n v="75499"/>
    <x v="2"/>
  </r>
  <r>
    <x v="56"/>
    <x v="56"/>
    <n v="36953359"/>
    <n v="19586"/>
    <n v="897"/>
    <x v="1"/>
    <n v="29644"/>
    <n v="449"/>
    <n v="20553"/>
    <n v="8642"/>
    <n v="31"/>
    <n v="802"/>
    <n v="12"/>
    <n v="1383816"/>
    <n v="37448"/>
    <x v="4"/>
  </r>
  <r>
    <x v="57"/>
    <x v="57"/>
    <n v="33516027"/>
    <n v="27918"/>
    <n v="1106"/>
    <x v="2"/>
    <n v="28315"/>
    <n v="175"/>
    <n v="19291"/>
    <n v="8849"/>
    <n v="228"/>
    <n v="845"/>
    <n v="5"/>
    <n v="1377915"/>
    <n v="41112"/>
    <x v="2"/>
  </r>
  <r>
    <x v="58"/>
    <x v="58"/>
    <n v="8733665"/>
    <n v="29608"/>
    <n v="1478"/>
    <x v="2"/>
    <n v="27332"/>
    <n v="621"/>
    <n v="14047"/>
    <n v="12664"/>
    <n v="120"/>
    <n v="3129"/>
    <n v="71"/>
    <n v="723137"/>
    <n v="82799"/>
    <x v="3"/>
  </r>
  <r>
    <x v="59"/>
    <x v="59"/>
    <n v="4032983"/>
    <n v="32306"/>
    <n v="1705"/>
    <x v="4"/>
    <n v="26628"/>
    <n v="828"/>
    <n v="18676"/>
    <n v="7124"/>
    <n v="362"/>
    <n v="6603"/>
    <n v="205"/>
    <n v="128076"/>
    <n v="31757"/>
    <x v="3"/>
  </r>
  <r>
    <x v="60"/>
    <x v="60"/>
    <n v="4943200"/>
    <n v="33410"/>
    <n v="1697"/>
    <x v="1"/>
    <n v="26372"/>
    <n v="1768"/>
    <n v="23364"/>
    <n v="1240"/>
    <n v="5"/>
    <n v="5335"/>
    <n v="358"/>
    <n v="652917"/>
    <n v="132084"/>
    <x v="3"/>
  </r>
  <r>
    <x v="61"/>
    <x v="61"/>
    <n v="53881160"/>
    <n v="42165"/>
    <n v="1917"/>
    <x v="1"/>
    <n v="24411"/>
    <n v="399"/>
    <n v="10444"/>
    <n v="13568"/>
    <n v="44"/>
    <n v="453"/>
    <n v="7"/>
    <n v="335318"/>
    <n v="6223"/>
    <x v="4"/>
  </r>
  <r>
    <x v="62"/>
    <x v="62"/>
    <n v="28427499"/>
    <n v="41154"/>
    <n v="2268"/>
    <x v="2"/>
    <n v="22299"/>
    <n v="195"/>
    <n v="12146"/>
    <n v="9958"/>
    <n v="42"/>
    <n v="784"/>
    <n v="7"/>
    <n v="1567431"/>
    <n v="55138"/>
    <x v="1"/>
  </r>
  <r>
    <x v="63"/>
    <x v="63"/>
    <n v="29186486"/>
    <n v="50817"/>
    <n v="2777"/>
    <x v="2"/>
    <n v="21750"/>
    <n v="65"/>
    <n v="15389"/>
    <n v="6296"/>
    <n v="0"/>
    <n v="745"/>
    <n v="2"/>
    <n v="731977"/>
    <n v="25079"/>
    <x v="2"/>
  </r>
  <r>
    <x v="64"/>
    <x v="64"/>
    <n v="9011577"/>
    <n v="62960"/>
    <n v="3007"/>
    <x v="1"/>
    <n v="21696"/>
    <n v="719"/>
    <n v="19596"/>
    <n v="1381"/>
    <n v="25"/>
    <n v="2408"/>
    <n v="80"/>
    <n v="937275"/>
    <n v="104008"/>
    <x v="3"/>
  </r>
  <r>
    <x v="65"/>
    <x v="65"/>
    <n v="5098730"/>
    <n v="64400"/>
    <n v="3518"/>
    <x v="1"/>
    <n v="21070"/>
    <n v="200"/>
    <n v="7038"/>
    <n v="13832"/>
    <n v="103"/>
    <n v="4132"/>
    <n v="39"/>
    <n v="96110"/>
    <n v="18850"/>
    <x v="0"/>
  </r>
  <r>
    <x v="66"/>
    <x v="66"/>
    <n v="115223736"/>
    <n v="67657"/>
    <n v="3679"/>
    <x v="2"/>
    <n v="20900"/>
    <n v="365"/>
    <n v="9027"/>
    <n v="11508"/>
    <n v="185"/>
    <n v="181"/>
    <n v="3"/>
    <n v="468814"/>
    <n v="4069"/>
    <x v="4"/>
  </r>
  <r>
    <x v="67"/>
    <x v="67"/>
    <n v="25528864"/>
    <n v="59577"/>
    <n v="3473"/>
    <x v="1"/>
    <n v="19890"/>
    <n v="255"/>
    <n v="10941"/>
    <n v="8694"/>
    <n v="52"/>
    <n v="779"/>
    <n v="10"/>
    <n v="4631419"/>
    <n v="181419"/>
    <x v="5"/>
  </r>
  <r>
    <x v="68"/>
    <x v="68"/>
    <n v="6489514"/>
    <n v="64639"/>
    <n v="4164"/>
    <x v="1"/>
    <n v="19126"/>
    <n v="513"/>
    <n v="9236"/>
    <n v="9377"/>
    <n v="509"/>
    <n v="2947"/>
    <n v="79"/>
    <n v="251271"/>
    <n v="38720"/>
    <x v="0"/>
  </r>
  <r>
    <x v="69"/>
    <x v="69"/>
    <n v="10711019"/>
    <n v="76416"/>
    <n v="4844"/>
    <x v="3"/>
    <n v="17731"/>
    <n v="390"/>
    <n v="12320"/>
    <n v="5021"/>
    <n v="17"/>
    <n v="1655"/>
    <n v="36"/>
    <n v="728670"/>
    <n v="68030"/>
    <x v="3"/>
  </r>
  <r>
    <x v="70"/>
    <x v="70"/>
    <n v="26606188"/>
    <n v="76214"/>
    <n v="5551"/>
    <x v="3"/>
    <n v="17718"/>
    <n v="391"/>
    <n v="15320"/>
    <n v="2007"/>
    <n v="30"/>
    <n v="666"/>
    <n v="15"/>
    <n v="149000"/>
    <n v="5600"/>
    <x v="4"/>
  </r>
  <r>
    <x v="71"/>
    <x v="71"/>
    <n v="26437950"/>
    <n v="81399"/>
    <n v="6305"/>
    <x v="2"/>
    <n v="16447"/>
    <n v="103"/>
    <n v="12484"/>
    <n v="3860"/>
    <n v="0"/>
    <n v="622"/>
    <n v="4"/>
    <n v="104584"/>
    <n v="3956"/>
    <x v="4"/>
  </r>
  <r>
    <x v="72"/>
    <x v="72"/>
    <n v="51273732"/>
    <n v="83155"/>
    <n v="5985"/>
    <x v="2"/>
    <n v="14519"/>
    <n v="303"/>
    <n v="13543"/>
    <n v="673"/>
    <n v="18"/>
    <n v="283"/>
    <n v="6"/>
    <n v="1613652"/>
    <n v="31471"/>
    <x v="2"/>
  </r>
  <r>
    <x v="73"/>
    <x v="73"/>
    <n v="5794279"/>
    <n v="80463"/>
    <n v="5841"/>
    <x v="3"/>
    <n v="14306"/>
    <n v="617"/>
    <n v="12787"/>
    <n v="902"/>
    <n v="2"/>
    <n v="2469"/>
    <n v="106"/>
    <n v="1654512"/>
    <n v="285542"/>
    <x v="3"/>
  </r>
  <r>
    <x v="74"/>
    <x v="74"/>
    <n v="5112340"/>
    <n v="71718"/>
    <n v="5021"/>
    <x v="3"/>
    <n v="13398"/>
    <n v="92"/>
    <n v="6907"/>
    <n v="6399"/>
    <n v="0"/>
    <n v="2621"/>
    <n v="18"/>
    <n v="200280"/>
    <n v="39176"/>
    <x v="2"/>
  </r>
  <r>
    <x v="75"/>
    <x v="75"/>
    <n v="3278650"/>
    <n v="72672"/>
    <n v="5832"/>
    <x v="1"/>
    <n v="13396"/>
    <n v="384"/>
    <n v="7042"/>
    <n v="5970"/>
    <n v="0"/>
    <n v="4086"/>
    <n v="117"/>
    <n v="147021"/>
    <n v="44842"/>
    <x v="3"/>
  </r>
  <r>
    <x v="76"/>
    <x v="76"/>
    <n v="6942854"/>
    <n v="76873"/>
    <n v="7902"/>
    <x v="3"/>
    <n v="13014"/>
    <n v="435"/>
    <n v="7374"/>
    <n v="5205"/>
    <n v="47"/>
    <n v="1874"/>
    <n v="63"/>
    <n v="294087"/>
    <n v="42358"/>
    <x v="3"/>
  </r>
  <r>
    <x v="77"/>
    <x v="77"/>
    <n v="27755708"/>
    <n v="83775"/>
    <n v="6735"/>
    <x v="1"/>
    <n v="12526"/>
    <n v="134"/>
    <n v="10148"/>
    <n v="2244"/>
    <n v="88"/>
    <n v="451"/>
    <n v="5"/>
    <n v="46301"/>
    <n v="1668"/>
    <x v="4"/>
  </r>
  <r>
    <x v="78"/>
    <x v="78"/>
    <n v="43943536"/>
    <n v="86625"/>
    <n v="7629"/>
    <x v="1"/>
    <n v="11780"/>
    <n v="763"/>
    <n v="6194"/>
    <n v="4823"/>
    <n v="0"/>
    <n v="268"/>
    <n v="17"/>
    <n v="401"/>
    <n v="9"/>
    <x v="4"/>
  </r>
  <r>
    <x v="79"/>
    <x v="79"/>
    <n v="2083365"/>
    <n v="87658"/>
    <n v="7272"/>
    <x v="5"/>
    <n v="11399"/>
    <n v="517"/>
    <n v="7480"/>
    <n v="3402"/>
    <n v="3"/>
    <n v="5471"/>
    <n v="248"/>
    <n v="109946"/>
    <n v="52773"/>
    <x v="3"/>
  </r>
  <r>
    <x v="80"/>
    <x v="80"/>
    <n v="16783877"/>
    <n v="76965"/>
    <n v="6069"/>
    <x v="5"/>
    <n v="10715"/>
    <n v="223"/>
    <n v="7101"/>
    <n v="3391"/>
    <n v="33"/>
    <n v="638"/>
    <n v="13"/>
    <n v="114761"/>
    <n v="6838"/>
    <x v="4"/>
  </r>
  <r>
    <x v="81"/>
    <x v="81"/>
    <n v="5425471"/>
    <n v="96802"/>
    <n v="5731"/>
    <x v="0"/>
    <n v="9468"/>
    <n v="256"/>
    <n v="8857"/>
    <n v="355"/>
    <n v="3"/>
    <n v="1745"/>
    <n v="47"/>
    <n v="472841"/>
    <n v="87152"/>
    <x v="3"/>
  </r>
  <r>
    <x v="82"/>
    <x v="82"/>
    <n v="89802183"/>
    <n v="69594"/>
    <n v="5747"/>
    <x v="0"/>
    <n v="9309"/>
    <n v="215"/>
    <n v="8048"/>
    <n v="1046"/>
    <n v="0"/>
    <n v="104"/>
    <n v="2"/>
    <n v="0"/>
    <n v="0"/>
    <x v="4"/>
  </r>
  <r>
    <x v="83"/>
    <x v="83"/>
    <n v="32406372"/>
    <n v="69927"/>
    <n v="6898"/>
    <x v="1"/>
    <n v="9038"/>
    <n v="125"/>
    <n v="8713"/>
    <n v="200"/>
    <n v="2"/>
    <n v="279"/>
    <n v="4"/>
    <n v="991333"/>
    <n v="30591"/>
    <x v="2"/>
  </r>
  <r>
    <x v="84"/>
    <x v="84"/>
    <n v="299385"/>
    <n v="80829"/>
    <n v="8312"/>
    <x v="1"/>
    <n v="8127"/>
    <n v="47"/>
    <n v="7240"/>
    <n v="840"/>
    <n v="23"/>
    <n v="27146"/>
    <n v="157"/>
    <n v="41412"/>
    <n v="138324"/>
    <x v="1"/>
  </r>
  <r>
    <x v="85"/>
    <x v="85"/>
    <n v="2230563"/>
    <n v="96712"/>
    <n v="7283"/>
    <x v="1"/>
    <n v="7787"/>
    <n v="51"/>
    <n v="5609"/>
    <n v="2127"/>
    <n v="11"/>
    <n v="3491"/>
    <n v="23"/>
    <n v="85369"/>
    <n v="38272"/>
    <x v="4"/>
  </r>
  <r>
    <x v="86"/>
    <x v="86"/>
    <n v="9557468"/>
    <n v="87724"/>
    <n v="8890"/>
    <x v="3"/>
    <n v="7665"/>
    <n v="62"/>
    <n v="6443"/>
    <n v="1160"/>
    <n v="0"/>
    <n v="802"/>
    <n v="6"/>
    <n v="0"/>
    <n v="0"/>
    <x v="2"/>
  </r>
  <r>
    <x v="87"/>
    <x v="87"/>
    <n v="13164905"/>
    <n v="73958"/>
    <n v="6471"/>
    <x v="4"/>
    <n v="7664"/>
    <n v="49"/>
    <n v="6757"/>
    <n v="858"/>
    <n v="24"/>
    <n v="582"/>
    <n v="4"/>
    <n v="14407"/>
    <n v="1094"/>
    <x v="4"/>
  </r>
  <r>
    <x v="88"/>
    <x v="88"/>
    <n v="11416103"/>
    <n v="80523"/>
    <n v="4570"/>
    <x v="0"/>
    <n v="7544"/>
    <n v="171"/>
    <n v="4832"/>
    <n v="2541"/>
    <n v="0"/>
    <n v="661"/>
    <n v="15"/>
    <n v="18443"/>
    <n v="1616"/>
    <x v="0"/>
  </r>
  <r>
    <x v="89"/>
    <x v="89"/>
    <n v="5541604"/>
    <n v="73339"/>
    <n v="5443"/>
    <x v="1"/>
    <n v="7532"/>
    <n v="331"/>
    <n v="6980"/>
    <n v="221"/>
    <n v="0"/>
    <n v="1359"/>
    <n v="60"/>
    <n v="389500"/>
    <n v="70287"/>
    <x v="3"/>
  </r>
  <r>
    <x v="90"/>
    <x v="90"/>
    <n v="18430129"/>
    <n v="75250"/>
    <n v="7157"/>
    <x v="2"/>
    <n v="7164"/>
    <n v="199"/>
    <n v="5786"/>
    <n v="1179"/>
    <n v="0"/>
    <n v="389"/>
    <n v="11"/>
    <n v="90307"/>
    <n v="4900"/>
    <x v="4"/>
  </r>
  <r>
    <x v="91"/>
    <x v="91"/>
    <n v="626952"/>
    <n v="78994"/>
    <n v="6755"/>
    <x v="1"/>
    <n v="7073"/>
    <n v="119"/>
    <n v="5750"/>
    <n v="1204"/>
    <n v="9"/>
    <n v="11282"/>
    <n v="190"/>
    <n v="623994"/>
    <n v="995282"/>
    <x v="3"/>
  </r>
  <r>
    <x v="92"/>
    <x v="92"/>
    <n v="4660728"/>
    <n v="89013"/>
    <n v="6850"/>
    <x v="0"/>
    <n v="6444"/>
    <n v="157"/>
    <n v="5291"/>
    <n v="996"/>
    <n v="3"/>
    <n v="1383"/>
    <n v="34"/>
    <n v="57387"/>
    <n v="12313"/>
    <x v="4"/>
  </r>
  <r>
    <x v="93"/>
    <x v="93"/>
    <n v="7141091"/>
    <n v="96974"/>
    <n v="6674"/>
    <x v="1"/>
    <n v="6375"/>
    <n v="66"/>
    <n v="4974"/>
    <n v="1335"/>
    <n v="23"/>
    <n v="893"/>
    <n v="9"/>
    <n v="135277"/>
    <n v="18943"/>
    <x v="1"/>
  </r>
  <r>
    <x v="94"/>
    <x v="94"/>
    <n v="2877470"/>
    <n v="84932"/>
    <n v="5578"/>
    <x v="4"/>
    <n v="6016"/>
    <n v="188"/>
    <n v="3155"/>
    <n v="2673"/>
    <n v="23"/>
    <n v="2091"/>
    <n v="65"/>
    <n v="38997"/>
    <n v="13553"/>
    <x v="3"/>
  </r>
  <r>
    <x v="95"/>
    <x v="95"/>
    <n v="6822220"/>
    <n v="72948"/>
    <n v="3883"/>
    <x v="1"/>
    <n v="5672"/>
    <n v="70"/>
    <n v="1974"/>
    <n v="3628"/>
    <n v="46"/>
    <n v="831"/>
    <n v="10"/>
    <n v="345268"/>
    <n v="50609"/>
    <x v="2"/>
  </r>
  <r>
    <x v="96"/>
    <x v="96"/>
    <n v="4102577"/>
    <n v="68704"/>
    <n v="4649"/>
    <x v="0"/>
    <n v="5404"/>
    <n v="155"/>
    <n v="4688"/>
    <n v="561"/>
    <n v="7"/>
    <n v="1317"/>
    <n v="38"/>
    <n v="125317"/>
    <n v="30546"/>
    <x v="3"/>
  </r>
  <r>
    <x v="97"/>
    <x v="97"/>
    <n v="989387"/>
    <n v="75404"/>
    <n v="6463"/>
    <x v="2"/>
    <n v="5330"/>
    <n v="59"/>
    <n v="5057"/>
    <n v="214"/>
    <n v="0"/>
    <n v="5387"/>
    <n v="60"/>
    <n v="59909"/>
    <n v="60552"/>
    <x v="4"/>
  </r>
  <r>
    <x v="98"/>
    <x v="98"/>
    <n v="10417673"/>
    <n v="79558"/>
    <n v="6768"/>
    <x v="2"/>
    <n v="5123"/>
    <n v="210"/>
    <n v="1374"/>
    <n v="3539"/>
    <n v="14"/>
    <n v="492"/>
    <n v="20"/>
    <n v="619393"/>
    <n v="59456"/>
    <x v="3"/>
  </r>
  <r>
    <x v="99"/>
    <x v="99"/>
    <n v="6880353"/>
    <n v="83681"/>
    <n v="5962"/>
    <x v="0"/>
    <n v="4879"/>
    <n v="107"/>
    <n v="652"/>
    <n v="4120"/>
    <n v="0"/>
    <n v="709"/>
    <n v="16"/>
    <n v="59699"/>
    <n v="8677"/>
    <x v="4"/>
  </r>
  <r>
    <x v="100"/>
    <x v="100"/>
    <n v="1407001"/>
    <n v="87046"/>
    <n v="5177"/>
    <x v="1"/>
    <n v="4821"/>
    <n v="83"/>
    <n v="2182"/>
    <n v="2556"/>
    <n v="0"/>
    <n v="3426"/>
    <n v="59"/>
    <n v="44356"/>
    <n v="31525"/>
    <x v="4"/>
  </r>
  <r>
    <x v="101"/>
    <x v="101"/>
    <n v="541448"/>
    <n v="81853"/>
    <n v="5325"/>
    <x v="1"/>
    <n v="4680"/>
    <n v="19"/>
    <n v="2725"/>
    <n v="1936"/>
    <n v="12"/>
    <n v="8643"/>
    <n v="35"/>
    <n v="85587"/>
    <n v="158071"/>
    <x v="2"/>
  </r>
  <r>
    <x v="102"/>
    <x v="102"/>
    <n v="4837752"/>
    <n v="77636"/>
    <n v="3453"/>
    <x v="1"/>
    <n v="4620"/>
    <n v="59"/>
    <n v="1641"/>
    <n v="2920"/>
    <n v="2"/>
    <n v="955"/>
    <n v="12"/>
    <n v="29589"/>
    <n v="6116"/>
    <x v="4"/>
  </r>
  <r>
    <x v="103"/>
    <x v="103"/>
    <n v="9657785"/>
    <n v="76078"/>
    <n v="4128"/>
    <x v="2"/>
    <n v="4597"/>
    <n v="600"/>
    <n v="3463"/>
    <n v="534"/>
    <n v="8"/>
    <n v="476"/>
    <n v="62"/>
    <n v="352546"/>
    <n v="36504"/>
    <x v="3"/>
  </r>
  <r>
    <x v="104"/>
    <x v="104"/>
    <n v="19174839"/>
    <n v="79989"/>
    <n v="5871"/>
    <x v="2"/>
    <n v="4491"/>
    <n v="137"/>
    <n v="2137"/>
    <n v="2217"/>
    <n v="4"/>
    <n v="234"/>
    <n v="7"/>
    <n v="33466"/>
    <n v="1745"/>
    <x v="4"/>
  </r>
  <r>
    <x v="105"/>
    <x v="105"/>
    <n v="14883803"/>
    <n v="90022"/>
    <n v="6669"/>
    <x v="4"/>
    <n v="4339"/>
    <n v="84"/>
    <n v="1264"/>
    <n v="2991"/>
    <n v="0"/>
    <n v="292"/>
    <n v="6"/>
    <n v="140421"/>
    <n v="9434"/>
    <x v="4"/>
  </r>
  <r>
    <x v="106"/>
    <x v="106"/>
    <n v="6632263"/>
    <n v="90669"/>
    <n v="5409"/>
    <x v="5"/>
    <n v="3902"/>
    <n v="123"/>
    <n v="2913"/>
    <n v="866"/>
    <n v="0"/>
    <n v="588"/>
    <n v="19"/>
    <n v="0"/>
    <n v="0"/>
    <x v="0"/>
  </r>
  <r>
    <x v="107"/>
    <x v="107"/>
    <n v="7503041"/>
    <n v="92997"/>
    <n v="5568"/>
    <x v="2"/>
    <n v="3850"/>
    <n v="46"/>
    <n v="2458"/>
    <n v="1346"/>
    <n v="39"/>
    <n v="513"/>
    <n v="6"/>
    <n v="692430"/>
    <n v="92287"/>
    <x v="2"/>
  </r>
  <r>
    <x v="108"/>
    <x v="108"/>
    <n v="5530506"/>
    <n v="85846"/>
    <n v="4265"/>
    <x v="1"/>
    <n v="3546"/>
    <n v="58"/>
    <n v="1589"/>
    <n v="1899"/>
    <n v="0"/>
    <n v="641"/>
    <n v="10"/>
    <n v="0"/>
    <n v="0"/>
    <x v="4"/>
  </r>
  <r>
    <x v="109"/>
    <x v="109"/>
    <n v="628074"/>
    <n v="76255"/>
    <n v="3566"/>
    <x v="2"/>
    <n v="3480"/>
    <n v="60"/>
    <n v="2178"/>
    <n v="1242"/>
    <n v="0"/>
    <n v="5541"/>
    <n v="96"/>
    <n v="38427"/>
    <n v="61182"/>
    <x v="3"/>
  </r>
  <r>
    <x v="110"/>
    <x v="110"/>
    <n v="69817894"/>
    <n v="76298"/>
    <n v="3473"/>
    <x v="2"/>
    <n v="3330"/>
    <n v="58"/>
    <n v="3148"/>
    <n v="124"/>
    <n v="1"/>
    <n v="48"/>
    <n v="0.8"/>
    <n v="749213"/>
    <n v="10731"/>
    <x v="2"/>
  </r>
  <r>
    <x v="111"/>
    <x v="111"/>
    <n v="15933012"/>
    <n v="83619"/>
    <n v="5547"/>
    <x v="3"/>
    <n v="3227"/>
    <n v="93"/>
    <n v="1728"/>
    <n v="1406"/>
    <n v="2"/>
    <n v="203"/>
    <n v="6"/>
    <n v="0"/>
    <n v="0"/>
    <x v="4"/>
  </r>
  <r>
    <x v="112"/>
    <x v="112"/>
    <n v="273419"/>
    <n v="84917"/>
    <n v="5228"/>
    <x v="1"/>
    <n v="3042"/>
    <n v="39"/>
    <n v="2738"/>
    <n v="265"/>
    <n v="2"/>
    <n v="11126"/>
    <n v="143"/>
    <n v="13000"/>
    <n v="47546"/>
    <x v="4"/>
  </r>
  <r>
    <x v="113"/>
    <x v="113"/>
    <n v="1161348"/>
    <n v="97106"/>
    <n v="5268"/>
    <x v="1"/>
    <n v="2968"/>
    <n v="55"/>
    <n v="1476"/>
    <n v="1437"/>
    <n v="5"/>
    <n v="2556"/>
    <n v="47"/>
    <n v="20784"/>
    <n v="17896"/>
    <x v="4"/>
  </r>
  <r>
    <x v="114"/>
    <x v="114"/>
    <n v="21422362"/>
    <n v="96349"/>
    <n v="5215"/>
    <x v="4"/>
    <n v="2839"/>
    <n v="11"/>
    <n v="2541"/>
    <n v="287"/>
    <n v="1"/>
    <n v="133"/>
    <n v="0.5"/>
    <n v="166737"/>
    <n v="7783"/>
    <x v="2"/>
  </r>
  <r>
    <x v="115"/>
    <x v="115"/>
    <n v="11325899"/>
    <n v="95412"/>
    <n v="4171"/>
    <x v="1"/>
    <n v="2775"/>
    <n v="88"/>
    <n v="2409"/>
    <n v="278"/>
    <n v="4"/>
    <n v="245"/>
    <n v="8"/>
    <n v="285471"/>
    <n v="25205"/>
    <x v="0"/>
  </r>
  <r>
    <x v="116"/>
    <x v="116"/>
    <n v="556581"/>
    <n v="78509"/>
    <n v="3329"/>
    <x v="0"/>
    <n v="2734"/>
    <n v="27"/>
    <n v="2010"/>
    <n v="697"/>
    <n v="0"/>
    <n v="4912"/>
    <n v="49"/>
    <n v="61633"/>
    <n v="110735"/>
    <x v="4"/>
  </r>
  <r>
    <x v="117"/>
    <x v="117"/>
    <n v="2545264"/>
    <n v="88284"/>
    <n v="3291"/>
    <x v="2"/>
    <n v="2652"/>
    <n v="15"/>
    <n v="563"/>
    <n v="2074"/>
    <n v="24"/>
    <n v="1042"/>
    <n v="6"/>
    <n v="29233"/>
    <n v="11485"/>
    <x v="4"/>
  </r>
  <r>
    <x v="118"/>
    <x v="118"/>
    <n v="20302901"/>
    <n v="96633"/>
    <n v="4784"/>
    <x v="2"/>
    <n v="2552"/>
    <n v="124"/>
    <n v="1954"/>
    <n v="474"/>
    <n v="0"/>
    <n v="126"/>
    <n v="6"/>
    <n v="25152"/>
    <n v="1239"/>
    <x v="4"/>
  </r>
  <r>
    <x v="119"/>
    <x v="119"/>
    <n v="5459915"/>
    <n v="103028"/>
    <n v="4885"/>
    <x v="5"/>
    <n v="2480"/>
    <n v="29"/>
    <n v="1824"/>
    <n v="627"/>
    <n v="2"/>
    <n v="454"/>
    <n v="5"/>
    <n v="272322"/>
    <n v="49877"/>
    <x v="3"/>
  </r>
  <r>
    <x v="120"/>
    <x v="120"/>
    <n v="11206572"/>
    <n v="106438"/>
    <n v="4786"/>
    <x v="1"/>
    <n v="2450"/>
    <n v="47"/>
    <n v="1175"/>
    <n v="1228"/>
    <n v="0"/>
    <n v="219"/>
    <n v="4"/>
    <n v="12044"/>
    <n v="1075"/>
    <x v="4"/>
  </r>
  <r>
    <x v="121"/>
    <x v="121"/>
    <n v="2078968"/>
    <n v="106900"/>
    <n v="5284"/>
    <x v="4"/>
    <n v="2223"/>
    <n v="125"/>
    <n v="1909"/>
    <n v="189"/>
    <n v="2"/>
    <n v="1069"/>
    <n v="60"/>
    <n v="135702"/>
    <n v="65274"/>
    <x v="3"/>
  </r>
  <r>
    <x v="122"/>
    <x v="122"/>
    <n v="2718121"/>
    <n v="105289"/>
    <n v="3989"/>
    <x v="3"/>
    <n v="2171"/>
    <n v="81"/>
    <n v="1656"/>
    <n v="434"/>
    <n v="6"/>
    <n v="799"/>
    <n v="30"/>
    <n v="540784"/>
    <n v="198955"/>
    <x v="3"/>
  </r>
  <r>
    <x v="123"/>
    <x v="123"/>
    <n v="1326627"/>
    <n v="95326"/>
    <n v="3140"/>
    <x v="2"/>
    <n v="2124"/>
    <n v="63"/>
    <n v="1954"/>
    <n v="107"/>
    <n v="0"/>
    <n v="1601"/>
    <n v="47"/>
    <n v="122880"/>
    <n v="92626"/>
    <x v="3"/>
  </r>
  <r>
    <x v="124"/>
    <x v="124"/>
    <n v="31333962"/>
    <n v="87335"/>
    <n v="1178"/>
    <x v="2"/>
    <n v="2120"/>
    <n v="15"/>
    <n v="795"/>
    <n v="1310"/>
    <n v="0"/>
    <n v="68"/>
    <n v="0.5"/>
    <n v="65151"/>
    <n v="2079"/>
    <x v="4"/>
  </r>
  <r>
    <x v="125"/>
    <x v="125"/>
    <n v="12981546"/>
    <n v="92742"/>
    <n v="4203"/>
    <x v="1"/>
    <n v="2111"/>
    <n v="5"/>
    <n v="1258"/>
    <n v="848"/>
    <n v="0"/>
    <n v="163"/>
    <n v="0.4"/>
    <n v="286251"/>
    <n v="22051"/>
    <x v="4"/>
  </r>
  <r>
    <x v="126"/>
    <x v="126"/>
    <n v="587154"/>
    <n v="102600"/>
    <n v="5213"/>
    <x v="1"/>
    <n v="2096"/>
    <n v="29"/>
    <n v="1446"/>
    <n v="621"/>
    <n v="9"/>
    <n v="3570"/>
    <n v="49"/>
    <n v="2785"/>
    <n v="4743"/>
    <x v="1"/>
  </r>
  <r>
    <x v="127"/>
    <x v="127"/>
    <n v="1972277"/>
    <n v="119314"/>
    <n v="4701"/>
    <x v="0"/>
    <n v="2032"/>
    <n v="27"/>
    <n v="944"/>
    <n v="1061"/>
    <n v="5"/>
    <n v="1030"/>
    <n v="14"/>
    <n v="1500"/>
    <n v="761"/>
    <x v="4"/>
  </r>
  <r>
    <x v="128"/>
    <x v="128"/>
    <n v="12151976"/>
    <n v="121167"/>
    <n v="4742"/>
    <x v="0"/>
    <n v="1936"/>
    <n v="38"/>
    <n v="1600"/>
    <n v="298"/>
    <n v="1"/>
    <n v="159"/>
    <n v="3"/>
    <n v="93677"/>
    <n v="7709"/>
    <x v="4"/>
  </r>
  <r>
    <x v="129"/>
    <x v="129"/>
    <n v="341465"/>
    <n v="137833"/>
    <n v="4156"/>
    <x v="3"/>
    <n v="1930"/>
    <n v="10"/>
    <n v="1825"/>
    <n v="95"/>
    <n v="0"/>
    <n v="5652"/>
    <n v="29"/>
    <n v="149693"/>
    <n v="438385"/>
    <x v="3"/>
  </r>
  <r>
    <x v="130"/>
    <x v="130"/>
    <n v="7992169"/>
    <n v="107552"/>
    <n v="2888"/>
    <x v="4"/>
    <n v="1877"/>
    <n v="67"/>
    <n v="1427"/>
    <n v="383"/>
    <n v="0"/>
    <n v="235"/>
    <n v="8"/>
    <n v="0"/>
    <n v="0"/>
    <x v="4"/>
  </r>
  <r>
    <x v="131"/>
    <x v="131"/>
    <n v="29886897"/>
    <n v="95195"/>
    <n v="3068"/>
    <x v="3"/>
    <n v="1768"/>
    <n v="508"/>
    <n v="898"/>
    <n v="362"/>
    <n v="0"/>
    <n v="59"/>
    <n v="17"/>
    <n v="120"/>
    <n v="4"/>
    <x v="2"/>
  </r>
  <r>
    <x v="132"/>
    <x v="132"/>
    <n v="11830801"/>
    <n v="121577"/>
    <n v="4823"/>
    <x v="3"/>
    <n v="1642"/>
    <n v="51"/>
    <n v="1241"/>
    <n v="350"/>
    <n v="9"/>
    <n v="139"/>
    <n v="4"/>
    <n v="100298"/>
    <n v="8478"/>
    <x v="4"/>
  </r>
  <r>
    <x v="133"/>
    <x v="133"/>
    <n v="5002100"/>
    <n v="119389"/>
    <n v="5572"/>
    <x v="4"/>
    <n v="1569"/>
    <n v="22"/>
    <n v="1524"/>
    <n v="23"/>
    <n v="0"/>
    <n v="314"/>
    <n v="4"/>
    <n v="486943"/>
    <n v="97348"/>
    <x v="5"/>
  </r>
  <r>
    <x v="134"/>
    <x v="134"/>
    <n v="32956300"/>
    <n v="126937"/>
    <n v="5149"/>
    <x v="1"/>
    <n v="1483"/>
    <n v="64"/>
    <n v="520"/>
    <n v="899"/>
    <n v="20"/>
    <n v="45"/>
    <n v="2"/>
    <n v="64747"/>
    <n v="1965"/>
    <x v="4"/>
  </r>
  <r>
    <x v="135"/>
    <x v="135"/>
    <n v="3474956"/>
    <n v="130863"/>
    <n v="4776"/>
    <x v="1"/>
    <n v="1318"/>
    <n v="37"/>
    <n v="1079"/>
    <n v="202"/>
    <n v="2"/>
    <n v="379"/>
    <n v="11"/>
    <n v="126956"/>
    <n v="36535"/>
    <x v="1"/>
  </r>
  <r>
    <x v="136"/>
    <x v="136"/>
    <n v="1883936"/>
    <n v="135942"/>
    <n v="3881"/>
    <x v="0"/>
    <n v="1275"/>
    <n v="32"/>
    <n v="1070"/>
    <n v="173"/>
    <n v="0"/>
    <n v="677"/>
    <n v="17"/>
    <n v="207909"/>
    <n v="110359"/>
    <x v="3"/>
  </r>
  <r>
    <x v="137"/>
    <x v="137"/>
    <n v="10213138"/>
    <n v="112259"/>
    <n v="2742"/>
    <x v="1"/>
    <n v="1232"/>
    <n v="11"/>
    <n v="1171"/>
    <n v="50"/>
    <n v="3"/>
    <n v="121"/>
    <n v="1"/>
    <n v="628745"/>
    <n v="61562"/>
    <x v="2"/>
  </r>
  <r>
    <x v="138"/>
    <x v="138"/>
    <n v="5068618"/>
    <n v="102225"/>
    <n v="3697"/>
    <x v="1"/>
    <n v="1224"/>
    <n v="78"/>
    <n v="705"/>
    <n v="441"/>
    <n v="0"/>
    <n v="241"/>
    <n v="15"/>
    <n v="0"/>
    <n v="0"/>
    <x v="4"/>
  </r>
  <r>
    <x v="139"/>
    <x v="139"/>
    <n v="45867852"/>
    <n v="124342"/>
    <n v="4922"/>
    <x v="2"/>
    <n v="1223"/>
    <n v="5"/>
    <n v="1102"/>
    <n v="116"/>
    <n v="0"/>
    <n v="27"/>
    <n v="0.1"/>
    <n v="288367"/>
    <n v="6287"/>
    <x v="4"/>
  </r>
  <r>
    <x v="140"/>
    <x v="140"/>
    <n v="1208238"/>
    <n v="134025"/>
    <n v="5205"/>
    <x v="3"/>
    <n v="1208"/>
    <n v="19"/>
    <n v="856"/>
    <n v="333"/>
    <n v="0"/>
    <n v="1000"/>
    <n v="16"/>
    <n v="216597"/>
    <n v="179267"/>
    <x v="2"/>
  </r>
  <r>
    <x v="141"/>
    <x v="141"/>
    <n v="3988368"/>
    <n v="138114"/>
    <n v="4774"/>
    <x v="3"/>
    <n v="1206"/>
    <n v="17"/>
    <n v="987"/>
    <n v="202"/>
    <n v="0"/>
    <n v="302"/>
    <n v="4"/>
    <n v="240473"/>
    <n v="60294"/>
    <x v="2"/>
  </r>
  <r>
    <x v="142"/>
    <x v="142"/>
    <n v="20954852"/>
    <n v="129094"/>
    <n v="4297"/>
    <x v="3"/>
    <n v="1158"/>
    <n v="54"/>
    <n v="961"/>
    <n v="143"/>
    <n v="0"/>
    <n v="55"/>
    <n v="3"/>
    <n v="0"/>
    <n v="0"/>
    <x v="4"/>
  </r>
  <r>
    <x v="143"/>
    <x v="143"/>
    <n v="24281433"/>
    <n v="136010"/>
    <n v="4238"/>
    <x v="1"/>
    <n v="1153"/>
    <n v="69"/>
    <n v="1057"/>
    <n v="27"/>
    <n v="0"/>
    <n v="47"/>
    <n v="3"/>
    <n v="9052"/>
    <n v="373"/>
    <x v="4"/>
  </r>
  <r>
    <x v="144"/>
    <x v="144"/>
    <n v="8296582"/>
    <n v="133421"/>
    <n v="3374"/>
    <x v="2"/>
    <n v="1012"/>
    <n v="22"/>
    <n v="697"/>
    <n v="293"/>
    <n v="2"/>
    <n v="122"/>
    <n v="3"/>
    <n v="45767"/>
    <n v="5516"/>
    <x v="4"/>
  </r>
  <r>
    <x v="145"/>
    <x v="145"/>
    <n v="17539600"/>
    <n v="119638"/>
    <n v="3425"/>
    <x v="0"/>
    <n v="999"/>
    <n v="48"/>
    <n v="311"/>
    <n v="640"/>
    <n v="0"/>
    <n v="57"/>
    <n v="3"/>
    <n v="0"/>
    <n v="0"/>
    <x v="2"/>
  </r>
  <r>
    <x v="146"/>
    <x v="146"/>
    <n v="2962478"/>
    <n v="141403"/>
    <n v="6867"/>
    <x v="2"/>
    <n v="958"/>
    <n v="12"/>
    <n v="745"/>
    <n v="201"/>
    <n v="0"/>
    <n v="323"/>
    <n v="4"/>
    <n v="41840"/>
    <n v="14123"/>
    <x v="0"/>
  </r>
  <r>
    <x v="147"/>
    <x v="147"/>
    <n v="441663"/>
    <n v="141853"/>
    <n v="5255"/>
    <x v="1"/>
    <n v="946"/>
    <n v="9"/>
    <n v="670"/>
    <n v="267"/>
    <n v="0"/>
    <n v="2142"/>
    <n v="20"/>
    <n v="136713"/>
    <n v="309541"/>
    <x v="3"/>
  </r>
  <r>
    <x v="148"/>
    <x v="148"/>
    <n v="77278"/>
    <n v="139928"/>
    <n v="5029"/>
    <x v="2"/>
    <n v="944"/>
    <n v="52"/>
    <n v="828"/>
    <n v="64"/>
    <n v="1"/>
    <n v="12216"/>
    <n v="673"/>
    <n v="3750"/>
    <n v="48526"/>
    <x v="3"/>
  </r>
  <r>
    <x v="149"/>
    <x v="149"/>
    <n v="16467965"/>
    <n v="180954"/>
    <n v="6273"/>
    <x v="2"/>
    <n v="942"/>
    <n v="76"/>
    <n v="838"/>
    <n v="28"/>
    <n v="0"/>
    <n v="57"/>
    <n v="5"/>
    <n v="0"/>
    <n v="0"/>
    <x v="4"/>
  </r>
  <r>
    <x v="150"/>
    <x v="150"/>
    <n v="2422754"/>
    <n v="157552"/>
    <n v="4249"/>
    <x v="4"/>
    <n v="935"/>
    <n v="16"/>
    <n v="136"/>
    <n v="783"/>
    <n v="0"/>
    <n v="386"/>
    <n v="7"/>
    <n v="5183"/>
    <n v="2139"/>
    <x v="4"/>
  </r>
  <r>
    <x v="151"/>
    <x v="151"/>
    <n v="219544"/>
    <n v="128539"/>
    <n v="3963"/>
    <x v="1"/>
    <n v="878"/>
    <n v="15"/>
    <n v="797"/>
    <n v="66"/>
    <n v="0"/>
    <n v="3999"/>
    <n v="68"/>
    <n v="3079"/>
    <n v="14025"/>
    <x v="4"/>
  </r>
  <r>
    <x v="152"/>
    <x v="152"/>
    <n v="2356075"/>
    <n v="137858"/>
    <n v="3571"/>
    <x v="1"/>
    <n v="804"/>
    <n v="2"/>
    <n v="63"/>
    <n v="739"/>
    <n v="1"/>
    <n v="341"/>
    <n v="0.8"/>
    <n v="68423"/>
    <n v="29041"/>
    <x v="4"/>
  </r>
  <r>
    <x v="153"/>
    <x v="153"/>
    <n v="393616"/>
    <n v="165338"/>
    <n v="5311"/>
    <x v="0"/>
    <n v="761"/>
    <n v="14"/>
    <n v="91"/>
    <n v="656"/>
    <n v="1"/>
    <n v="1933"/>
    <n v="36"/>
    <n v="4814"/>
    <n v="12230"/>
    <x v="0"/>
  </r>
  <r>
    <x v="154"/>
    <x v="154"/>
    <n v="97425470"/>
    <n v="171183"/>
    <n v="5261"/>
    <x v="2"/>
    <n v="747"/>
    <n v="10"/>
    <n v="392"/>
    <n v="345"/>
    <n v="0"/>
    <n v="8"/>
    <n v="0.1"/>
    <n v="482456"/>
    <n v="4952"/>
    <x v="2"/>
  </r>
  <r>
    <x v="155"/>
    <x v="155"/>
    <n v="2143943"/>
    <n v="177887"/>
    <n v="6627"/>
    <x v="4"/>
    <n v="742"/>
    <n v="23"/>
    <n v="175"/>
    <n v="544"/>
    <n v="0"/>
    <n v="346"/>
    <n v="11"/>
    <n v="8771"/>
    <n v="4091"/>
    <x v="4"/>
  </r>
  <r>
    <x v="156"/>
    <x v="156"/>
    <n v="0"/>
    <n v="191346"/>
    <n v="4827"/>
    <x v="2"/>
    <n v="712"/>
    <n v="13"/>
    <n v="651"/>
    <n v="48"/>
    <n v="4"/>
    <n v="0"/>
    <n v="0"/>
    <n v="0"/>
    <n v="0"/>
    <x v="4"/>
  </r>
  <r>
    <x v="157"/>
    <x v="157"/>
    <n v="33938"/>
    <n v="178110"/>
    <n v="4486"/>
    <x v="1"/>
    <n v="699"/>
    <n v="42"/>
    <n v="657"/>
    <n v="0"/>
    <n v="0"/>
    <n v="20596"/>
    <n v="1238"/>
    <n v="6068"/>
    <n v="178797"/>
    <x v="3"/>
  </r>
  <r>
    <x v="158"/>
    <x v="158"/>
    <n v="895952"/>
    <n v="162349"/>
    <n v="3089"/>
    <x v="5"/>
    <n v="671"/>
    <n v="5"/>
    <n v="592"/>
    <n v="74"/>
    <n v="3"/>
    <n v="749"/>
    <n v="6"/>
    <n v="35419"/>
    <n v="39532"/>
    <x v="4"/>
  </r>
  <r>
    <x v="159"/>
    <x v="159"/>
    <n v="174022"/>
    <n v="158572"/>
    <n v="3721"/>
    <x v="0"/>
    <n v="597"/>
    <n v="47"/>
    <n v="533"/>
    <n v="17"/>
    <n v="0"/>
    <n v="3431"/>
    <n v="270"/>
    <n v="30721"/>
    <n v="176535"/>
    <x v="3"/>
  </r>
  <r>
    <x v="160"/>
    <x v="160"/>
    <n v="786936"/>
    <n v="173898"/>
    <n v="5132"/>
    <x v="3"/>
    <n v="538"/>
    <n v="22"/>
    <n v="189"/>
    <n v="327"/>
    <n v="2"/>
    <n v="684"/>
    <n v="28"/>
    <n v="5165"/>
    <n v="6563"/>
    <x v="1"/>
  </r>
  <r>
    <x v="161"/>
    <x v="161"/>
    <n v="59886383"/>
    <n v="217689"/>
    <n v="5011"/>
    <x v="1"/>
    <n v="509"/>
    <n v="21"/>
    <n v="183"/>
    <n v="305"/>
    <n v="7"/>
    <n v="8"/>
    <n v="0.4"/>
    <n v="0"/>
    <n v="0"/>
    <x v="4"/>
  </r>
  <r>
    <x v="162"/>
    <x v="162"/>
    <n v="23821199"/>
    <n v="207705"/>
    <n v="5120"/>
    <x v="1"/>
    <n v="477"/>
    <n v="7"/>
    <n v="443"/>
    <n v="27"/>
    <n v="0"/>
    <n v="20"/>
    <n v="0.3"/>
    <n v="82737"/>
    <n v="3473"/>
    <x v="2"/>
  </r>
  <r>
    <x v="163"/>
    <x v="163"/>
    <n v="871326"/>
    <n v="203495"/>
    <n v="4995"/>
    <x v="0"/>
    <n v="396"/>
    <n v="7"/>
    <n v="340"/>
    <n v="49"/>
    <n v="0"/>
    <n v="454"/>
    <n v="8"/>
    <n v="0"/>
    <n v="0"/>
    <x v="4"/>
  </r>
  <r>
    <x v="164"/>
    <x v="164"/>
    <n v="11922216"/>
    <n v="193567"/>
    <n v="4369"/>
    <x v="4"/>
    <n v="395"/>
    <n v="1"/>
    <n v="304"/>
    <n v="90"/>
    <n v="0"/>
    <n v="33"/>
    <n v="0.08"/>
    <n v="15614"/>
    <n v="1310"/>
    <x v="4"/>
  </r>
  <r>
    <x v="165"/>
    <x v="165"/>
    <n v="54446389"/>
    <n v="182695"/>
    <n v="3445"/>
    <x v="1"/>
    <n v="357"/>
    <n v="6"/>
    <n v="308"/>
    <n v="43"/>
    <n v="0"/>
    <n v="7"/>
    <n v="0.1"/>
    <n v="122290"/>
    <n v="2246"/>
    <x v="2"/>
  </r>
  <r>
    <x v="166"/>
    <x v="166"/>
    <n v="1271985"/>
    <n v="167343"/>
    <n v="3797"/>
    <x v="2"/>
    <n v="344"/>
    <n v="10"/>
    <n v="334"/>
    <n v="0"/>
    <n v="0"/>
    <n v="270"/>
    <n v="8"/>
    <n v="205285"/>
    <n v="161389"/>
    <x v="4"/>
  </r>
  <r>
    <x v="167"/>
    <x v="167"/>
    <n v="85078"/>
    <n v="210844"/>
    <n v="6107"/>
    <x v="5"/>
    <n v="336"/>
    <n v="24"/>
    <n v="312"/>
    <n v="0"/>
    <n v="0"/>
    <n v="3949"/>
    <n v="282"/>
    <n v="8627"/>
    <n v="101401"/>
    <x v="3"/>
  </r>
  <r>
    <x v="168"/>
    <x v="168"/>
    <n v="3283344"/>
    <n v="211802"/>
    <n v="5319"/>
    <x v="5"/>
    <n v="293"/>
    <n v="0"/>
    <n v="260"/>
    <n v="33"/>
    <n v="1"/>
    <n v="89"/>
    <n v="0"/>
    <n v="38334"/>
    <n v="11675"/>
    <x v="2"/>
  </r>
  <r>
    <x v="169"/>
    <x v="169"/>
    <n v="3551175"/>
    <n v="228227"/>
    <n v="5458"/>
    <x v="2"/>
    <n v="282"/>
    <n v="0"/>
    <n v="225"/>
    <n v="57"/>
    <n v="0"/>
    <n v="79"/>
    <n v="0"/>
    <n v="0"/>
    <n v="0"/>
    <x v="4"/>
  </r>
  <r>
    <x v="170"/>
    <x v="170"/>
    <n v="400131"/>
    <n v="232577"/>
    <n v="5311"/>
    <x v="3"/>
    <n v="279"/>
    <n v="14"/>
    <n v="179"/>
    <n v="86"/>
    <n v="0"/>
    <n v="697"/>
    <n v="35"/>
    <n v="18476"/>
    <n v="46175"/>
    <x v="0"/>
  </r>
  <r>
    <x v="171"/>
    <x v="171"/>
    <n v="375235"/>
    <n v="216328"/>
    <n v="4897"/>
    <x v="0"/>
    <n v="276"/>
    <n v="15"/>
    <n v="98"/>
    <n v="163"/>
    <n v="1"/>
    <n v="736"/>
    <n v="40"/>
    <n v="12227"/>
    <n v="32585"/>
    <x v="0"/>
  </r>
  <r>
    <x v="172"/>
    <x v="172"/>
    <n v="48882"/>
    <n v="192668"/>
    <n v="3954"/>
    <x v="1"/>
    <n v="266"/>
    <n v="0"/>
    <n v="192"/>
    <n v="74"/>
    <n v="1"/>
    <n v="5442"/>
    <n v="0"/>
    <n v="43045"/>
    <n v="880590"/>
    <x v="3"/>
  </r>
  <r>
    <x v="173"/>
    <x v="173"/>
    <n v="106812"/>
    <n v="192779"/>
    <n v="3815"/>
    <x v="3"/>
    <n v="263"/>
    <n v="3"/>
    <n v="114"/>
    <n v="146"/>
    <n v="0"/>
    <n v="2462"/>
    <n v="28"/>
    <n v="14047"/>
    <n v="131511"/>
    <x v="0"/>
  </r>
  <r>
    <x v="174"/>
    <x v="174"/>
    <n v="16741375"/>
    <n v="221452"/>
    <n v="5660"/>
    <x v="2"/>
    <n v="243"/>
    <n v="0"/>
    <n v="210"/>
    <n v="33"/>
    <n v="1"/>
    <n v="15"/>
    <n v="0"/>
    <n v="67807"/>
    <n v="4050"/>
    <x v="2"/>
  </r>
  <r>
    <x v="175"/>
    <x v="175"/>
    <n v="1399950"/>
    <n v="231122"/>
    <n v="5493"/>
    <x v="1"/>
    <n v="210"/>
    <n v="8"/>
    <n v="135"/>
    <n v="67"/>
    <n v="0"/>
    <n v="150"/>
    <n v="6"/>
    <n v="9559"/>
    <n v="6828"/>
    <x v="0"/>
  </r>
  <r>
    <x v="176"/>
    <x v="176"/>
    <n v="65798"/>
    <n v="252544"/>
    <n v="5799"/>
    <x v="0"/>
    <n v="203"/>
    <n v="1"/>
    <n v="202"/>
    <n v="0"/>
    <n v="0"/>
    <n v="3085"/>
    <n v="15"/>
    <n v="31108"/>
    <n v="472780"/>
    <x v="0"/>
  </r>
  <r>
    <x v="177"/>
    <x v="177"/>
    <n v="33690"/>
    <n v="242038"/>
    <n v="6743"/>
    <x v="1"/>
    <n v="190"/>
    <n v="0"/>
    <n v="184"/>
    <n v="6"/>
    <n v="0"/>
    <n v="5640"/>
    <n v="0"/>
    <n v="23063"/>
    <n v="684565"/>
    <x v="3"/>
  </r>
  <r>
    <x v="178"/>
    <x v="178"/>
    <n v="8963009"/>
    <n v="237635"/>
    <n v="5627"/>
    <x v="3"/>
    <n v="163"/>
    <n v="3"/>
    <n v="53"/>
    <n v="107"/>
    <n v="0"/>
    <n v="18"/>
    <n v="0.3"/>
    <n v="10808"/>
    <n v="1206"/>
    <x v="5"/>
  </r>
  <r>
    <x v="179"/>
    <x v="179"/>
    <n v="42924"/>
    <n v="214647"/>
    <n v="4029"/>
    <x v="1"/>
    <n v="160"/>
    <n v="16"/>
    <n v="64"/>
    <n v="80"/>
    <n v="3"/>
    <n v="3728"/>
    <n v="373"/>
    <n v="1115"/>
    <n v="25976"/>
    <x v="0"/>
  </r>
  <r>
    <x v="180"/>
    <x v="180"/>
    <n v="62254"/>
    <n v="206778"/>
    <n v="4160"/>
    <x v="3"/>
    <n v="157"/>
    <n v="9"/>
    <n v="144"/>
    <n v="4"/>
    <n v="0"/>
    <n v="2522"/>
    <n v="145"/>
    <n v="26352"/>
    <n v="423298"/>
    <x v="0"/>
  </r>
  <r>
    <x v="181"/>
    <x v="181"/>
    <n v="437893"/>
    <n v="233565"/>
    <n v="6238"/>
    <x v="4"/>
    <n v="141"/>
    <n v="3"/>
    <n v="138"/>
    <n v="0"/>
    <n v="0"/>
    <n v="322"/>
    <n v="7"/>
    <n v="41148"/>
    <n v="93968"/>
    <x v="2"/>
  </r>
  <r>
    <x v="182"/>
    <x v="182"/>
    <n v="287411"/>
    <n v="280647"/>
    <n v="6983"/>
    <x v="0"/>
    <n v="133"/>
    <n v="7"/>
    <n v="100"/>
    <n v="26"/>
    <n v="0"/>
    <n v="463"/>
    <n v="24"/>
    <n v="12233"/>
    <n v="42563"/>
    <x v="0"/>
  </r>
  <r>
    <x v="183"/>
    <x v="183"/>
    <n v="38768"/>
    <n v="282756"/>
    <n v="9966"/>
    <x v="2"/>
    <n v="129"/>
    <n v="2"/>
    <n v="39"/>
    <n v="88"/>
    <n v="3"/>
    <n v="3327"/>
    <n v="52"/>
    <n v="1252"/>
    <n v="32295"/>
    <x v="0"/>
  </r>
  <r>
    <x v="184"/>
    <x v="184"/>
    <n v="98408"/>
    <n v="281164"/>
    <n v="6144"/>
    <x v="0"/>
    <n v="126"/>
    <n v="0"/>
    <n v="124"/>
    <n v="2"/>
    <n v="0"/>
    <n v="1280"/>
    <n v="0"/>
    <n v="0"/>
    <n v="0"/>
    <x v="4"/>
  </r>
  <r>
    <x v="185"/>
    <x v="185"/>
    <n v="39270"/>
    <n v="255545"/>
    <n v="4867"/>
    <x v="2"/>
    <n v="125"/>
    <n v="4"/>
    <n v="105"/>
    <n v="16"/>
    <n v="2"/>
    <n v="3183"/>
    <n v="102"/>
    <n v="38209"/>
    <n v="972982"/>
    <x v="3"/>
  </r>
  <r>
    <x v="186"/>
    <x v="186"/>
    <n v="772443"/>
    <n v="204606"/>
    <n v="4104"/>
    <x v="2"/>
    <n v="105"/>
    <n v="0"/>
    <n v="93"/>
    <n v="12"/>
    <n v="0"/>
    <n v="136"/>
    <n v="0"/>
    <n v="54589"/>
    <n v="70671"/>
    <x v="2"/>
  </r>
  <r>
    <x v="187"/>
    <x v="186"/>
    <n v="98010"/>
    <n v="228693"/>
    <n v="5415"/>
    <x v="2"/>
    <n v="92"/>
    <n v="3"/>
    <n v="76"/>
    <n v="13"/>
    <n v="1"/>
    <n v="939"/>
    <n v="31"/>
    <n v="1500"/>
    <n v="1530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FBD5A8-38C5-47D3-8342-0A2693892CDD}" name="PivotTable15"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7">
  <location ref="L3:M11" firstHeaderRow="1" firstDataRow="1" firstDataCol="1"/>
  <pivotFields count="17">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showAll="0">
      <items count="8">
        <item x="2"/>
        <item x="3"/>
        <item x="0"/>
        <item x="1"/>
        <item x="5"/>
        <item x="4"/>
        <item m="1" x="6"/>
        <item t="default"/>
      </items>
    </pivotField>
    <pivotField showAll="0"/>
    <pivotField showAll="0"/>
    <pivotField showAll="0"/>
    <pivotField showAll="0"/>
    <pivotField showAll="0"/>
    <pivotField showAll="0"/>
    <pivotField showAll="0"/>
    <pivotField showAll="0"/>
    <pivotField showAll="0"/>
    <pivotField showAll="0">
      <items count="7">
        <item x="4"/>
        <item x="2"/>
        <item x="5"/>
        <item x="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6"/>
    <field x="0"/>
  </rowFields>
  <rowItems count="8">
    <i>
      <x v="1"/>
    </i>
    <i>
      <x v="2"/>
    </i>
    <i>
      <x v="3"/>
    </i>
    <i>
      <x v="4"/>
    </i>
    <i>
      <x v="5"/>
    </i>
    <i>
      <x v="6"/>
    </i>
    <i>
      <x v="7"/>
    </i>
    <i t="grand">
      <x/>
    </i>
  </rowItems>
  <colItems count="1">
    <i/>
  </colItems>
  <dataFields count="1">
    <dataField name="Sum of New deaths" fld="4" baseField="0" baseItem="0"/>
  </dataFields>
  <chartFormats count="3">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16" count="1" selected="0">
            <x v="4"/>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A2B197-76AE-46AB-9522-539C85FA49B8}" name="PivotTable10"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D3:D4" firstHeaderRow="1" firstDataRow="1" firstDataCol="0"/>
  <pivotFields count="17">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8">
        <item x="2"/>
        <item x="3"/>
        <item x="0"/>
        <item x="1"/>
        <item x="5"/>
        <item x="4"/>
        <item m="1" x="6"/>
        <item t="default"/>
      </items>
    </pivotField>
    <pivotField showAll="0"/>
    <pivotField dataField="1" showAll="0"/>
    <pivotField showAll="0"/>
    <pivotField showAll="0"/>
    <pivotField showAll="0"/>
    <pivotField showAll="0"/>
    <pivotField showAll="0"/>
    <pivotField showAll="0"/>
    <pivotField showAll="0"/>
    <pivotField showAll="0">
      <items count="7">
        <item x="4"/>
        <item x="2"/>
        <item x="5"/>
        <item x="3"/>
        <item x="0"/>
        <item x="1"/>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Death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50FE72-03A8-4536-BBE1-80F1951C0644}" name="PivotTable2"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8">
  <location ref="AD3:AD4" firstHeaderRow="1" firstDataRow="1" firstDataCol="0"/>
  <pivotFields count="17">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8">
        <item x="2"/>
        <item x="3"/>
        <item x="0"/>
        <item x="1"/>
        <item x="5"/>
        <item x="4"/>
        <item m="1" x="6"/>
        <item t="default"/>
      </items>
    </pivotField>
    <pivotField showAll="0"/>
    <pivotField showAll="0"/>
    <pivotField showAll="0"/>
    <pivotField showAll="0"/>
    <pivotField showAll="0"/>
    <pivotField showAll="0"/>
    <pivotField showAll="0"/>
    <pivotField dataField="1" showAll="0"/>
    <pivotField showAll="0"/>
    <pivotField showAll="0">
      <items count="7">
        <item x="4"/>
        <item x="2"/>
        <item x="5"/>
        <item x="3"/>
        <item x="0"/>
        <item x="1"/>
        <item t="default"/>
      </items>
    </pivotField>
    <pivotField showAll="0">
      <items count="15">
        <item sd="0" x="0"/>
        <item sd="0" x="1"/>
        <item sd="0" x="2"/>
        <item sd="0" x="3"/>
        <item sd="0" x="4"/>
        <item sd="0" x="5"/>
        <item sd="0" x="6"/>
        <item sd="0" x="7"/>
        <item sd="0" x="8"/>
        <item sd="0" x="9"/>
        <item sd="0" x="10"/>
        <item sd="0" x="11"/>
        <item sd="0" x="12"/>
        <item sd="0" x="13"/>
        <item t="default" sd="0"/>
      </items>
    </pivotField>
  </pivotFields>
  <rowItems count="1">
    <i/>
  </rowItems>
  <colItems count="1">
    <i/>
  </colItems>
  <dataFields count="1">
    <dataField name="Sum of TotalTest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244ABB-C5FD-43E1-BA1B-306DF8CA8C66}" name="PivotTable17"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6">
  <location ref="S3:T14" firstHeaderRow="1" firstDataRow="1" firstDataCol="1"/>
  <pivotFields count="17">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items count="189">
        <item x="16"/>
        <item x="0"/>
        <item x="1"/>
        <item x="2"/>
        <item x="3"/>
        <item x="4"/>
        <item x="5"/>
        <item x="6"/>
        <item x="7"/>
        <item x="8"/>
        <item x="9"/>
        <item x="10"/>
        <item x="11"/>
        <item x="12"/>
        <item x="13"/>
        <item x="14"/>
        <item x="15"/>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m="1" x="187"/>
        <item t="default"/>
      </items>
    </pivotField>
    <pivotField showAll="0"/>
    <pivotField showAll="0"/>
    <pivotField showAll="0"/>
    <pivotField showAll="0">
      <items count="8">
        <item x="2"/>
        <item x="3"/>
        <item x="0"/>
        <item x="1"/>
        <item x="5"/>
        <item x="4"/>
        <item m="1" x="6"/>
        <item t="default"/>
      </items>
    </pivotField>
    <pivotField showAll="0"/>
    <pivotField showAll="0"/>
    <pivotField showAll="0"/>
    <pivotField showAll="0"/>
    <pivotField showAll="0"/>
    <pivotField showAll="0"/>
    <pivotField dataField="1" showAll="0"/>
    <pivotField showAll="0"/>
    <pivotField showAll="0"/>
    <pivotField showAll="0">
      <items count="7">
        <item x="4"/>
        <item x="2"/>
        <item x="5"/>
        <item x="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1">
    <i>
      <x v="1"/>
    </i>
    <i>
      <x v="7"/>
    </i>
    <i>
      <x v="8"/>
    </i>
    <i>
      <x v="10"/>
    </i>
    <i>
      <x v="12"/>
    </i>
    <i>
      <x v="16"/>
    </i>
    <i>
      <x v="29"/>
    </i>
    <i>
      <x v="35"/>
    </i>
    <i>
      <x v="148"/>
    </i>
    <i>
      <x v="157"/>
    </i>
    <i t="grand">
      <x/>
    </i>
  </rowItems>
  <colItems count="1">
    <i/>
  </colItems>
  <dataFields count="1">
    <dataField name="Sum of Deaths/1M pop" fld="12"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4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E6D5FA-C1FB-4C61-A173-7BD3A0A7C66D}" name="PivotTable5"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3:A4" firstHeaderRow="1" firstDataRow="1" firstDataCol="0"/>
  <pivotFields count="17">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8">
        <item x="2"/>
        <item x="3"/>
        <item x="0"/>
        <item x="1"/>
        <item x="5"/>
        <item x="4"/>
        <item m="1" x="6"/>
        <item t="default"/>
      </items>
    </pivotField>
    <pivotField dataField="1" showAll="0"/>
    <pivotField showAll="0"/>
    <pivotField showAll="0"/>
    <pivotField showAll="0"/>
    <pivotField showAll="0"/>
    <pivotField showAll="0"/>
    <pivotField showAll="0"/>
    <pivotField showAll="0"/>
    <pivotField showAll="0"/>
    <pivotField showAll="0">
      <items count="7">
        <item x="4"/>
        <item x="2"/>
        <item x="5"/>
        <item x="3"/>
        <item x="0"/>
        <item x="1"/>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Cas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3FDFF3-7A05-43F3-A787-F6376CE61FE3}" name="PivotTable16"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
  <location ref="P3:Q14" firstHeaderRow="1" firstDataRow="1" firstDataCol="1"/>
  <pivotFields count="17">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items count="189">
        <item x="16"/>
        <item x="0"/>
        <item x="1"/>
        <item x="2"/>
        <item x="3"/>
        <item x="4"/>
        <item x="5"/>
        <item x="6"/>
        <item x="7"/>
        <item x="8"/>
        <item x="9"/>
        <item x="10"/>
        <item x="11"/>
        <item x="12"/>
        <item x="13"/>
        <item x="14"/>
        <item x="15"/>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m="1" x="187"/>
        <item t="default"/>
      </items>
    </pivotField>
    <pivotField showAll="0"/>
    <pivotField showAll="0"/>
    <pivotField showAll="0"/>
    <pivotField showAll="0">
      <items count="8">
        <item x="2"/>
        <item x="3"/>
        <item x="0"/>
        <item x="1"/>
        <item x="5"/>
        <item x="4"/>
        <item m="1" x="6"/>
        <item t="default"/>
      </items>
    </pivotField>
    <pivotField showAll="0"/>
    <pivotField showAll="0"/>
    <pivotField showAll="0"/>
    <pivotField showAll="0"/>
    <pivotField showAll="0"/>
    <pivotField dataField="1" showAll="0"/>
    <pivotField showAll="0"/>
    <pivotField showAll="0"/>
    <pivotField showAll="0"/>
    <pivotField showAll="0">
      <items count="7">
        <item x="4"/>
        <item x="2"/>
        <item x="5"/>
        <item x="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1">
    <i>
      <x v="1"/>
    </i>
    <i>
      <x v="7"/>
    </i>
    <i>
      <x v="8"/>
    </i>
    <i>
      <x v="24"/>
    </i>
    <i>
      <x v="30"/>
    </i>
    <i>
      <x v="34"/>
    </i>
    <i>
      <x v="36"/>
    </i>
    <i>
      <x v="47"/>
    </i>
    <i>
      <x v="84"/>
    </i>
    <i>
      <x v="157"/>
    </i>
    <i t="grand">
      <x/>
    </i>
  </rowItems>
  <colItems count="1">
    <i/>
  </colItems>
  <dataFields count="1">
    <dataField name="Sum of Total Cases/1M pop"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5EAA04-D066-465F-B654-2B577C442228}" name="PivotTable11"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1:A12" firstHeaderRow="1" firstDataRow="1" firstDataCol="0"/>
  <pivotFields count="17">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8">
        <item x="2"/>
        <item x="3"/>
        <item x="0"/>
        <item x="1"/>
        <item x="5"/>
        <item x="4"/>
        <item m="1" x="6"/>
        <item t="default"/>
      </items>
    </pivotField>
    <pivotField showAll="0"/>
    <pivotField showAll="0"/>
    <pivotField dataField="1" showAll="0"/>
    <pivotField showAll="0"/>
    <pivotField showAll="0"/>
    <pivotField showAll="0"/>
    <pivotField showAll="0"/>
    <pivotField showAll="0"/>
    <pivotField showAll="0"/>
    <pivotField showAll="0">
      <items count="7">
        <item x="4"/>
        <item x="2"/>
        <item x="5"/>
        <item x="3"/>
        <item x="0"/>
        <item x="1"/>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Recovere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85F60E-577B-4678-9CA3-41A32C681FAF}" name="PivotTable1"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8">
  <location ref="Y3:Z10" firstHeaderRow="1" firstDataRow="1" firstDataCol="1"/>
  <pivotFields count="17">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Row" showAll="0">
      <items count="8">
        <item x="2"/>
        <item x="3"/>
        <item x="0"/>
        <item x="1"/>
        <item x="5"/>
        <item x="4"/>
        <item n="BLANKS" m="1" x="6"/>
        <item t="default"/>
      </items>
    </pivotField>
    <pivotField showAll="0"/>
    <pivotField dataField="1" showAll="0"/>
    <pivotField showAll="0"/>
    <pivotField showAll="0"/>
    <pivotField showAll="0"/>
    <pivotField showAll="0"/>
    <pivotField showAll="0"/>
    <pivotField showAll="0"/>
    <pivotField showAll="0"/>
    <pivotField showAll="0">
      <items count="7">
        <item x="4"/>
        <item x="2"/>
        <item x="5"/>
        <item x="3"/>
        <item x="0"/>
        <item x="1"/>
        <item t="default"/>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5"/>
  </rowFields>
  <rowItems count="7">
    <i>
      <x/>
    </i>
    <i>
      <x v="1"/>
    </i>
    <i>
      <x v="2"/>
    </i>
    <i>
      <x v="3"/>
    </i>
    <i>
      <x v="4"/>
    </i>
    <i>
      <x v="5"/>
    </i>
    <i t="grand">
      <x/>
    </i>
  </rowItems>
  <colItems count="1">
    <i/>
  </colItems>
  <dataFields count="1">
    <dataField name="Sum of TotalDeaths" fld="7" baseField="0" baseItem="0"/>
  </dataFields>
  <chartFormats count="1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5" count="1" selected="0">
            <x v="4"/>
          </reference>
        </references>
      </pivotArea>
    </chartFormat>
    <chartFormat chart="4" format="2">
      <pivotArea type="data" outline="0" fieldPosition="0">
        <references count="2">
          <reference field="4294967294" count="1" selected="0">
            <x v="0"/>
          </reference>
          <reference field="5" count="1" selected="0">
            <x v="0"/>
          </reference>
        </references>
      </pivotArea>
    </chartFormat>
    <chartFormat chart="4" format="3">
      <pivotArea type="data" outline="0" fieldPosition="0">
        <references count="2">
          <reference field="4294967294" count="1" selected="0">
            <x v="0"/>
          </reference>
          <reference field="5" count="1" selected="0">
            <x v="5"/>
          </reference>
        </references>
      </pivotArea>
    </chartFormat>
    <chartFormat chart="4" format="4">
      <pivotArea type="data" outline="0" fieldPosition="0">
        <references count="2">
          <reference field="4294967294" count="1" selected="0">
            <x v="0"/>
          </reference>
          <reference field="5" count="1" selected="0">
            <x v="2"/>
          </reference>
        </references>
      </pivotArea>
    </chartFormat>
    <chartFormat chart="4" format="5">
      <pivotArea type="data" outline="0" fieldPosition="0">
        <references count="2">
          <reference field="4294967294" count="1" selected="0">
            <x v="0"/>
          </reference>
          <reference field="5" count="1" selected="0">
            <x v="1"/>
          </reference>
        </references>
      </pivotArea>
    </chartFormat>
    <chartFormat chart="4" format="6">
      <pivotArea type="data" outline="0" fieldPosition="0">
        <references count="2">
          <reference field="4294967294" count="1" selected="0">
            <x v="0"/>
          </reference>
          <reference field="5" count="1" selected="0">
            <x v="3"/>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5" count="1" selected="0">
            <x v="0"/>
          </reference>
        </references>
      </pivotArea>
    </chartFormat>
    <chartFormat chart="7" format="16">
      <pivotArea type="data" outline="0" fieldPosition="0">
        <references count="2">
          <reference field="4294967294" count="1" selected="0">
            <x v="0"/>
          </reference>
          <reference field="5" count="1" selected="0">
            <x v="1"/>
          </reference>
        </references>
      </pivotArea>
    </chartFormat>
    <chartFormat chart="7" format="17">
      <pivotArea type="data" outline="0" fieldPosition="0">
        <references count="2">
          <reference field="4294967294" count="1" selected="0">
            <x v="0"/>
          </reference>
          <reference field="5" count="1" selected="0">
            <x v="2"/>
          </reference>
        </references>
      </pivotArea>
    </chartFormat>
    <chartFormat chart="7" format="18">
      <pivotArea type="data" outline="0" fieldPosition="0">
        <references count="2">
          <reference field="4294967294" count="1" selected="0">
            <x v="0"/>
          </reference>
          <reference field="5" count="1" selected="0">
            <x v="3"/>
          </reference>
        </references>
      </pivotArea>
    </chartFormat>
    <chartFormat chart="7" format="19">
      <pivotArea type="data" outline="0" fieldPosition="0">
        <references count="2">
          <reference field="4294967294" count="1" selected="0">
            <x v="0"/>
          </reference>
          <reference field="5" count="1" selected="0">
            <x v="4"/>
          </reference>
        </references>
      </pivotArea>
    </chartFormat>
    <chartFormat chart="7"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BDA3D2-1C50-4452-B15F-38C58E56B945}"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9:C36" firstHeaderRow="1" firstDataRow="1" firstDataCol="0"/>
  <pivotFields count="17">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890C59-67C0-41F2-AFD8-AA985095F799}" name="PivotTable12"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D14:D15" firstHeaderRow="1" firstDataRow="1" firstDataCol="0"/>
  <pivotFields count="17">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8">
        <item x="2"/>
        <item x="3"/>
        <item x="0"/>
        <item x="1"/>
        <item x="5"/>
        <item x="4"/>
        <item m="1" x="6"/>
        <item t="default"/>
      </items>
    </pivotField>
    <pivotField showAll="0"/>
    <pivotField showAll="0"/>
    <pivotField showAll="0"/>
    <pivotField dataField="1" showAll="0"/>
    <pivotField showAll="0"/>
    <pivotField showAll="0"/>
    <pivotField showAll="0"/>
    <pivotField showAll="0"/>
    <pivotField showAll="0"/>
    <pivotField showAll="0">
      <items count="7">
        <item x="4"/>
        <item x="2"/>
        <item x="5"/>
        <item x="3"/>
        <item x="0"/>
        <item x="1"/>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ctiveCas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CA26D1-85A4-4129-A34A-6E5DB5F3763A}" name="PivotTable18"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
  <location ref="V3:W14" firstHeaderRow="1" firstDataRow="1" firstDataCol="1"/>
  <pivotFields count="17">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items count="189">
        <item x="16"/>
        <item x="0"/>
        <item x="1"/>
        <item x="2"/>
        <item x="3"/>
        <item x="4"/>
        <item x="5"/>
        <item x="6"/>
        <item x="7"/>
        <item x="8"/>
        <item x="9"/>
        <item x="10"/>
        <item x="11"/>
        <item x="12"/>
        <item x="13"/>
        <item x="14"/>
        <item x="15"/>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m="1" x="187"/>
        <item t="default"/>
      </items>
    </pivotField>
    <pivotField showAll="0"/>
    <pivotField showAll="0"/>
    <pivotField showAll="0"/>
    <pivotField showAll="0">
      <items count="8">
        <item x="2"/>
        <item x="3"/>
        <item x="0"/>
        <item x="1"/>
        <item x="5"/>
        <item x="4"/>
        <item m="1" x="6"/>
        <item t="default"/>
      </items>
    </pivotField>
    <pivotField showAll="0"/>
    <pivotField showAll="0"/>
    <pivotField showAll="0"/>
    <pivotField showAll="0"/>
    <pivotField showAll="0"/>
    <pivotField showAll="0"/>
    <pivotField showAll="0"/>
    <pivotField showAll="0"/>
    <pivotField dataField="1" showAll="0"/>
    <pivotField showAll="0">
      <items count="7">
        <item x="4"/>
        <item x="2"/>
        <item x="5"/>
        <item x="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1">
    <i>
      <x v="38"/>
    </i>
    <i>
      <x v="47"/>
    </i>
    <i>
      <x v="91"/>
    </i>
    <i>
      <x v="129"/>
    </i>
    <i>
      <x v="147"/>
    </i>
    <i>
      <x v="172"/>
    </i>
    <i>
      <x v="175"/>
    </i>
    <i>
      <x v="176"/>
    </i>
    <i>
      <x v="180"/>
    </i>
    <i>
      <x v="185"/>
    </i>
    <i t="grand">
      <x/>
    </i>
  </rowItems>
  <colItems count="1">
    <i/>
  </colItems>
  <dataFields count="1">
    <dataField name="Sum of Tests/1M pop" fld="14"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2C02AC1-3779-46DE-99DB-A1AB9317AFB5}" name="PivotTable14"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
  <location ref="G3:H11" firstHeaderRow="1" firstDataRow="1" firstDataCol="1"/>
  <pivotFields count="17">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showAll="0">
      <items count="8">
        <item x="2"/>
        <item x="3"/>
        <item x="0"/>
        <item x="1"/>
        <item x="5"/>
        <item x="4"/>
        <item m="1" x="6"/>
        <item t="default"/>
      </items>
    </pivotField>
    <pivotField showAll="0"/>
    <pivotField showAll="0"/>
    <pivotField showAll="0"/>
    <pivotField showAll="0"/>
    <pivotField showAll="0"/>
    <pivotField showAll="0"/>
    <pivotField showAll="0"/>
    <pivotField showAll="0"/>
    <pivotField showAll="0"/>
    <pivotField showAll="0">
      <items count="7">
        <item x="4"/>
        <item x="2"/>
        <item x="5"/>
        <item x="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6"/>
    <field x="0"/>
  </rowFields>
  <rowItems count="8">
    <i>
      <x v="1"/>
    </i>
    <i>
      <x v="2"/>
    </i>
    <i>
      <x v="3"/>
    </i>
    <i>
      <x v="4"/>
    </i>
    <i>
      <x v="5"/>
    </i>
    <i>
      <x v="6"/>
    </i>
    <i>
      <x v="7"/>
    </i>
    <i t="grand">
      <x/>
    </i>
  </rowItems>
  <colItems count="1">
    <i/>
  </colItems>
  <dataFields count="1">
    <dataField name="Sum of New cases" fld="3" baseField="16" baseItem="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O_Region" xr10:uid="{270D8C27-7A1C-490F-85BA-7C8843640869}" sourceName="WHO Region">
  <pivotTables>
    <pivotTable tabId="8" name="PivotTable14"/>
    <pivotTable tabId="8" name="PivotTable1"/>
    <pivotTable tabId="8" name="PivotTable10"/>
    <pivotTable tabId="8" name="PivotTable11"/>
    <pivotTable tabId="8" name="PivotTable12"/>
    <pivotTable tabId="8" name="PivotTable15"/>
    <pivotTable tabId="8" name="PivotTable16"/>
    <pivotTable tabId="8" name="PivotTable17"/>
    <pivotTable tabId="8" name="PivotTable18"/>
    <pivotTable tabId="8" name="PivotTable5"/>
    <pivotTable tabId="8" name="PivotTable2"/>
  </pivotTables>
  <data>
    <tabular pivotCacheId="140549956">
      <items count="7">
        <i x="2" s="1"/>
        <i x="3" s="1"/>
        <i x="0" s="1"/>
        <i x="1" s="1"/>
        <i x="5" s="1"/>
        <i x="4"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35D6A509-8364-4F35-9858-9407D76ED586}" sourceName="Continent">
  <pivotTables>
    <pivotTable tabId="8" name="PivotTable14"/>
    <pivotTable tabId="8" name="PivotTable1"/>
    <pivotTable tabId="8" name="PivotTable10"/>
    <pivotTable tabId="8" name="PivotTable11"/>
    <pivotTable tabId="8" name="PivotTable12"/>
    <pivotTable tabId="8" name="PivotTable15"/>
    <pivotTable tabId="8" name="PivotTable16"/>
    <pivotTable tabId="8" name="PivotTable17"/>
    <pivotTable tabId="8" name="PivotTable18"/>
    <pivotTable tabId="8" name="PivotTable5"/>
    <pivotTable tabId="8" name="PivotTable2"/>
  </pivotTables>
  <data>
    <tabular pivotCacheId="140549956">
      <items count="6">
        <i x="4" s="1"/>
        <i x="2" s="1"/>
        <i x="5"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HO Region" xr10:uid="{BFBEF1BA-D7BF-4E59-8BFE-A76226B5632A}" cache="Slicer_WHO_Region" caption="WHO Region" rowHeight="241300"/>
  <slicer name="Continent" xr10:uid="{4345F43F-C44F-414D-B2C5-16DD93412B7B}" cache="Slicer_Continent" caption="Contin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HO Region 1" xr10:uid="{8B253040-7BB8-4A9E-9C52-98279DB5E08F}" cache="Slicer_WHO_Region" caption="WHO Region" style="SlicerStyleDark1" rowHeight="365760"/>
  <slicer name="Continent 1" xr10:uid="{6A1537CD-7A57-498D-B57E-B626A8AE7A57}" cache="Slicer_Continent" caption="Continent" style="SlicerStyleDark1"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C5BB8B1-AEB6-47AA-AD0D-2FBB301926F0}" sourceName="Date">
  <pivotTables>
    <pivotTable tabId="8" name="PivotTable14"/>
    <pivotTable tabId="8" name="PivotTable1"/>
    <pivotTable tabId="8" name="PivotTable10"/>
    <pivotTable tabId="8" name="PivotTable11"/>
    <pivotTable tabId="8" name="PivotTable12"/>
    <pivotTable tabId="8" name="PivotTable15"/>
    <pivotTable tabId="8" name="PivotTable16"/>
    <pivotTable tabId="8" name="PivotTable17"/>
    <pivotTable tabId="8" name="PivotTable18"/>
    <pivotTable tabId="8" name="PivotTable5"/>
    <pivotTable tabId="8" name="PivotTable2"/>
  </pivotTables>
  <state minimalRefreshVersion="6" lastRefreshVersion="6" pivotCacheId="140549956" filterType="unknown">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CF2BE37-9C67-49A6-BE11-41B09BA8F28A}" cache="NativeTimeline_Date" caption="Date" level="2" selectionLevel="2" scrollPosition="2020-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1B79CF6-F849-4985-8AA9-FEBCE1461F11}" cache="NativeTimeline_Date" caption="Date" level="2" selectionLevel="2" scrollPosition="2020-08-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9062"/>
  <sheetViews>
    <sheetView topLeftCell="L1" zoomScale="106" zoomScaleNormal="106" workbookViewId="0">
      <selection activeCell="L185" sqref="L185:X186"/>
    </sheetView>
  </sheetViews>
  <sheetFormatPr defaultRowHeight="15" x14ac:dyDescent="0.25"/>
  <cols>
    <col min="1" max="1" width="10.140625" bestFit="1" customWidth="1"/>
    <col min="2" max="2" width="30.7109375" customWidth="1"/>
    <col min="3" max="3" width="13.28515625" bestFit="1" customWidth="1"/>
    <col min="4" max="4" width="12.28515625" customWidth="1"/>
    <col min="5" max="5" width="13.140625" customWidth="1"/>
    <col min="6" max="6" width="17" bestFit="1" customWidth="1"/>
    <col min="7" max="7" width="25.28515625" bestFit="1" customWidth="1"/>
    <col min="8" max="8" width="23.42578125" bestFit="1" customWidth="1"/>
    <col min="9" max="9" width="17" bestFit="1" customWidth="1"/>
    <col min="10" max="10" width="17.85546875" bestFit="1" customWidth="1"/>
    <col min="11" max="11" width="21.28515625" bestFit="1" customWidth="1"/>
    <col min="12" max="12" width="21.7109375" bestFit="1" customWidth="1"/>
    <col min="13" max="13" width="26.7109375" bestFit="1" customWidth="1"/>
    <col min="14" max="14" width="17" bestFit="1" customWidth="1"/>
    <col min="15" max="15" width="10.42578125" bestFit="1" customWidth="1"/>
    <col min="16" max="16" width="11.5703125" bestFit="1" customWidth="1"/>
    <col min="17" max="17" width="15" bestFit="1" customWidth="1"/>
    <col min="18" max="18" width="11.5703125" bestFit="1" customWidth="1"/>
    <col min="19" max="19" width="14.42578125" bestFit="1" customWidth="1"/>
    <col min="20" max="20" width="16.85546875" bestFit="1" customWidth="1"/>
    <col min="21" max="21" width="14.7109375" bestFit="1" customWidth="1"/>
    <col min="22" max="22" width="10" bestFit="1" customWidth="1"/>
    <col min="23" max="23" width="13.140625" bestFit="1" customWidth="1"/>
    <col min="24" max="24" width="17" bestFit="1" customWidth="1"/>
  </cols>
  <sheetData>
    <row r="1" spans="1:24" ht="15.75" x14ac:dyDescent="0.25">
      <c r="A1" s="4" t="s">
        <v>280</v>
      </c>
      <c r="B1" s="1" t="s">
        <v>0</v>
      </c>
      <c r="C1" s="4" t="s">
        <v>282</v>
      </c>
      <c r="D1" s="4" t="s">
        <v>1</v>
      </c>
      <c r="E1" s="4" t="s">
        <v>2</v>
      </c>
      <c r="F1" s="4" t="s">
        <v>3</v>
      </c>
      <c r="G1" s="1" t="s">
        <v>4</v>
      </c>
      <c r="H1" s="1" t="s">
        <v>5</v>
      </c>
      <c r="I1" s="4" t="s">
        <v>281</v>
      </c>
      <c r="J1" s="1" t="s">
        <v>6</v>
      </c>
      <c r="K1" s="1" t="s">
        <v>7</v>
      </c>
      <c r="L1" s="1" t="s">
        <v>8</v>
      </c>
      <c r="M1" s="4" t="s">
        <v>202</v>
      </c>
      <c r="N1" s="4" t="s">
        <v>281</v>
      </c>
      <c r="O1" s="4" t="s">
        <v>283</v>
      </c>
      <c r="P1" s="4" t="s">
        <v>284</v>
      </c>
      <c r="Q1" s="4" t="s">
        <v>285</v>
      </c>
      <c r="R1" s="4" t="s">
        <v>286</v>
      </c>
      <c r="S1" s="4" t="s">
        <v>287</v>
      </c>
      <c r="T1" s="4" t="s">
        <v>296</v>
      </c>
      <c r="U1" s="4" t="s">
        <v>288</v>
      </c>
      <c r="V1" s="4" t="s">
        <v>289</v>
      </c>
      <c r="W1" s="4" t="s">
        <v>290</v>
      </c>
      <c r="X1" s="4" t="s">
        <v>281</v>
      </c>
    </row>
    <row r="2" spans="1:24" x14ac:dyDescent="0.25">
      <c r="A2" s="3">
        <v>43852</v>
      </c>
      <c r="B2" t="s">
        <v>9</v>
      </c>
      <c r="C2">
        <v>331198130</v>
      </c>
      <c r="D2">
        <v>0</v>
      </c>
      <c r="E2">
        <v>0</v>
      </c>
      <c r="F2">
        <v>0</v>
      </c>
      <c r="G2" s="2">
        <v>69.489999999999995</v>
      </c>
      <c r="H2">
        <v>35526</v>
      </c>
      <c r="I2" t="s">
        <v>291</v>
      </c>
      <c r="J2">
        <v>737</v>
      </c>
      <c r="K2" s="2">
        <v>2.0699999999999998</v>
      </c>
      <c r="L2" t="s">
        <v>10</v>
      </c>
      <c r="M2" t="s">
        <v>203</v>
      </c>
      <c r="N2" t="s">
        <v>295</v>
      </c>
      <c r="O2">
        <v>5032179</v>
      </c>
      <c r="P2">
        <v>162804</v>
      </c>
      <c r="Q2">
        <v>2576668</v>
      </c>
      <c r="R2">
        <v>2292707</v>
      </c>
      <c r="S2">
        <v>18296</v>
      </c>
      <c r="T2">
        <v>15194</v>
      </c>
      <c r="U2">
        <v>492</v>
      </c>
      <c r="V2">
        <v>63139605</v>
      </c>
      <c r="W2">
        <v>190640</v>
      </c>
      <c r="X2" t="s">
        <v>291</v>
      </c>
    </row>
    <row r="3" spans="1:24" x14ac:dyDescent="0.25">
      <c r="A3" s="3">
        <v>43853</v>
      </c>
      <c r="B3" t="s">
        <v>11</v>
      </c>
      <c r="C3">
        <v>212710692</v>
      </c>
      <c r="D3">
        <v>99</v>
      </c>
      <c r="E3">
        <v>1</v>
      </c>
      <c r="F3">
        <v>2</v>
      </c>
      <c r="G3" s="2">
        <v>56.25</v>
      </c>
      <c r="H3">
        <v>4171</v>
      </c>
      <c r="I3" t="s">
        <v>292</v>
      </c>
      <c r="J3">
        <v>709</v>
      </c>
      <c r="K3" s="2">
        <v>17</v>
      </c>
      <c r="L3" t="s">
        <v>12</v>
      </c>
      <c r="M3" t="s">
        <v>203</v>
      </c>
      <c r="N3" t="s">
        <v>292</v>
      </c>
      <c r="O3">
        <v>2917562</v>
      </c>
      <c r="P3">
        <v>98644</v>
      </c>
      <c r="Q3">
        <v>2047660</v>
      </c>
      <c r="R3">
        <v>771258</v>
      </c>
      <c r="S3">
        <v>8318</v>
      </c>
      <c r="T3">
        <v>13716</v>
      </c>
      <c r="U3">
        <v>464</v>
      </c>
      <c r="V3">
        <v>13206188</v>
      </c>
      <c r="W3">
        <v>62085</v>
      </c>
      <c r="X3" t="s">
        <v>292</v>
      </c>
    </row>
    <row r="4" spans="1:24" x14ac:dyDescent="0.25">
      <c r="A4" s="3">
        <v>43854</v>
      </c>
      <c r="B4" t="s">
        <v>13</v>
      </c>
      <c r="C4">
        <v>1381344997</v>
      </c>
      <c r="D4">
        <v>287</v>
      </c>
      <c r="E4">
        <v>8</v>
      </c>
      <c r="F4">
        <v>6</v>
      </c>
      <c r="G4" s="2">
        <v>67.34</v>
      </c>
      <c r="H4">
        <v>23691</v>
      </c>
      <c r="I4" t="s">
        <v>293</v>
      </c>
      <c r="J4">
        <v>4282</v>
      </c>
      <c r="K4" s="2">
        <v>18.07</v>
      </c>
      <c r="L4" t="s">
        <v>14</v>
      </c>
      <c r="M4" t="s">
        <v>203</v>
      </c>
      <c r="N4" t="s">
        <v>293</v>
      </c>
      <c r="O4">
        <v>2025409</v>
      </c>
      <c r="P4">
        <v>41638</v>
      </c>
      <c r="Q4">
        <v>1377384</v>
      </c>
      <c r="R4">
        <v>606387</v>
      </c>
      <c r="S4">
        <v>8944</v>
      </c>
      <c r="T4">
        <v>1466</v>
      </c>
      <c r="U4">
        <v>30</v>
      </c>
      <c r="V4">
        <v>22149351</v>
      </c>
      <c r="W4">
        <v>16035</v>
      </c>
      <c r="X4" t="s">
        <v>293</v>
      </c>
    </row>
    <row r="5" spans="1:24" x14ac:dyDescent="0.25">
      <c r="A5" s="3">
        <v>43855</v>
      </c>
      <c r="B5" t="s">
        <v>15</v>
      </c>
      <c r="C5">
        <v>145940924</v>
      </c>
      <c r="D5">
        <v>493</v>
      </c>
      <c r="E5">
        <v>16</v>
      </c>
      <c r="F5">
        <v>3</v>
      </c>
      <c r="G5" s="2">
        <v>88.53</v>
      </c>
      <c r="H5">
        <v>884</v>
      </c>
      <c r="I5" t="s">
        <v>12</v>
      </c>
      <c r="J5">
        <v>23</v>
      </c>
      <c r="K5" s="2">
        <v>2.6</v>
      </c>
      <c r="L5" t="s">
        <v>12</v>
      </c>
      <c r="M5" t="s">
        <v>203</v>
      </c>
      <c r="N5" t="s">
        <v>12</v>
      </c>
      <c r="O5">
        <v>871894</v>
      </c>
      <c r="P5">
        <v>14606</v>
      </c>
      <c r="Q5">
        <v>676357</v>
      </c>
      <c r="R5">
        <v>180931</v>
      </c>
      <c r="S5">
        <v>2300</v>
      </c>
      <c r="T5">
        <v>5974</v>
      </c>
      <c r="U5">
        <v>100</v>
      </c>
      <c r="V5">
        <v>29716907</v>
      </c>
      <c r="W5">
        <v>203623</v>
      </c>
      <c r="X5" t="s">
        <v>12</v>
      </c>
    </row>
    <row r="6" spans="1:24" x14ac:dyDescent="0.25">
      <c r="A6" s="3">
        <v>43856</v>
      </c>
      <c r="B6" t="s">
        <v>16</v>
      </c>
      <c r="C6">
        <v>59381566</v>
      </c>
      <c r="D6">
        <v>684</v>
      </c>
      <c r="E6">
        <v>14</v>
      </c>
      <c r="F6">
        <v>13</v>
      </c>
      <c r="G6" s="2">
        <v>25.47</v>
      </c>
      <c r="H6">
        <v>749</v>
      </c>
      <c r="I6" t="s">
        <v>14</v>
      </c>
      <c r="J6">
        <v>201</v>
      </c>
      <c r="K6" s="2">
        <v>26.84</v>
      </c>
      <c r="L6" t="s">
        <v>14</v>
      </c>
      <c r="M6" t="s">
        <v>203</v>
      </c>
      <c r="N6" t="s">
        <v>14</v>
      </c>
      <c r="O6">
        <v>538184</v>
      </c>
      <c r="P6">
        <v>9604</v>
      </c>
      <c r="Q6">
        <v>387316</v>
      </c>
      <c r="R6">
        <v>141264</v>
      </c>
      <c r="S6">
        <v>539</v>
      </c>
      <c r="T6">
        <v>9063</v>
      </c>
      <c r="U6">
        <v>162</v>
      </c>
      <c r="V6">
        <v>3149807</v>
      </c>
      <c r="W6">
        <v>53044</v>
      </c>
      <c r="X6" t="s">
        <v>14</v>
      </c>
    </row>
    <row r="7" spans="1:24" x14ac:dyDescent="0.25">
      <c r="A7" s="3">
        <v>43857</v>
      </c>
      <c r="B7" t="s">
        <v>17</v>
      </c>
      <c r="C7">
        <v>129066160</v>
      </c>
      <c r="D7">
        <v>809</v>
      </c>
      <c r="E7">
        <v>26</v>
      </c>
      <c r="F7">
        <v>9</v>
      </c>
      <c r="G7" s="2">
        <v>75.58</v>
      </c>
      <c r="H7">
        <v>76</v>
      </c>
      <c r="I7" t="s">
        <v>291</v>
      </c>
      <c r="J7">
        <v>10</v>
      </c>
      <c r="K7" s="2">
        <v>13.16</v>
      </c>
      <c r="L7" t="s">
        <v>18</v>
      </c>
      <c r="M7" t="s">
        <v>203</v>
      </c>
      <c r="N7" t="s">
        <v>291</v>
      </c>
      <c r="O7">
        <v>462690</v>
      </c>
      <c r="P7">
        <v>50517</v>
      </c>
      <c r="Q7">
        <v>308848</v>
      </c>
      <c r="R7">
        <v>103325</v>
      </c>
      <c r="S7">
        <v>3987</v>
      </c>
      <c r="T7">
        <v>3585</v>
      </c>
      <c r="U7">
        <v>391</v>
      </c>
      <c r="V7">
        <v>1056915</v>
      </c>
      <c r="W7">
        <v>8189</v>
      </c>
      <c r="X7" t="s">
        <v>291</v>
      </c>
    </row>
    <row r="8" spans="1:24" x14ac:dyDescent="0.25">
      <c r="A8" s="3">
        <v>43858</v>
      </c>
      <c r="B8" t="s">
        <v>19</v>
      </c>
      <c r="C8">
        <v>33016319</v>
      </c>
      <c r="D8">
        <v>2651</v>
      </c>
      <c r="E8">
        <v>49</v>
      </c>
      <c r="F8">
        <v>46</v>
      </c>
      <c r="G8" s="2">
        <v>43.35</v>
      </c>
      <c r="H8">
        <v>130774</v>
      </c>
      <c r="I8" t="s">
        <v>292</v>
      </c>
      <c r="J8">
        <v>36642</v>
      </c>
      <c r="K8" s="2">
        <v>28.02</v>
      </c>
      <c r="L8" t="s">
        <v>18</v>
      </c>
      <c r="M8" t="s">
        <v>203</v>
      </c>
      <c r="N8" t="s">
        <v>292</v>
      </c>
      <c r="O8">
        <v>455409</v>
      </c>
      <c r="P8">
        <v>20424</v>
      </c>
      <c r="Q8">
        <v>310337</v>
      </c>
      <c r="R8">
        <v>124648</v>
      </c>
      <c r="S8">
        <v>1426</v>
      </c>
      <c r="T8">
        <v>13793</v>
      </c>
      <c r="U8">
        <v>619</v>
      </c>
      <c r="V8">
        <v>2493429</v>
      </c>
      <c r="W8">
        <v>75521</v>
      </c>
      <c r="X8" t="s">
        <v>292</v>
      </c>
    </row>
    <row r="9" spans="1:24" x14ac:dyDescent="0.25">
      <c r="A9" s="3">
        <v>43859</v>
      </c>
      <c r="B9" t="s">
        <v>20</v>
      </c>
      <c r="C9">
        <v>19132514</v>
      </c>
      <c r="D9">
        <v>588</v>
      </c>
      <c r="E9">
        <v>2</v>
      </c>
      <c r="F9">
        <v>18</v>
      </c>
      <c r="G9" s="2">
        <v>71.319999999999993</v>
      </c>
      <c r="H9">
        <v>34981</v>
      </c>
      <c r="I9" t="s">
        <v>292</v>
      </c>
      <c r="J9">
        <v>2409</v>
      </c>
      <c r="K9" s="2">
        <v>6.89</v>
      </c>
      <c r="L9" t="s">
        <v>12</v>
      </c>
      <c r="M9" t="s">
        <v>203</v>
      </c>
      <c r="N9" t="s">
        <v>292</v>
      </c>
      <c r="O9">
        <v>366671</v>
      </c>
      <c r="P9">
        <v>9889</v>
      </c>
      <c r="Q9">
        <v>340168</v>
      </c>
      <c r="R9">
        <v>16614</v>
      </c>
      <c r="S9">
        <v>1358</v>
      </c>
      <c r="T9">
        <v>19165</v>
      </c>
      <c r="U9">
        <v>517</v>
      </c>
      <c r="V9">
        <v>1760615</v>
      </c>
      <c r="W9">
        <v>92022</v>
      </c>
      <c r="X9" t="s">
        <v>292</v>
      </c>
    </row>
    <row r="10" spans="1:24" x14ac:dyDescent="0.25">
      <c r="A10" s="3">
        <v>43860</v>
      </c>
      <c r="B10" t="s">
        <v>21</v>
      </c>
      <c r="C10">
        <v>50936262</v>
      </c>
      <c r="D10">
        <v>2068</v>
      </c>
      <c r="E10">
        <v>38</v>
      </c>
      <c r="F10">
        <v>16</v>
      </c>
      <c r="G10" s="2">
        <v>60.84</v>
      </c>
      <c r="H10">
        <v>12428</v>
      </c>
      <c r="I10" t="s">
        <v>292</v>
      </c>
      <c r="J10">
        <v>2875</v>
      </c>
      <c r="K10" s="2">
        <v>23.13</v>
      </c>
      <c r="L10" t="s">
        <v>22</v>
      </c>
      <c r="M10" t="s">
        <v>203</v>
      </c>
      <c r="N10" t="s">
        <v>292</v>
      </c>
      <c r="O10">
        <v>357710</v>
      </c>
      <c r="P10">
        <v>11939</v>
      </c>
      <c r="Q10">
        <v>192355</v>
      </c>
      <c r="R10">
        <v>153416</v>
      </c>
      <c r="S10">
        <v>1493</v>
      </c>
      <c r="T10">
        <v>7023</v>
      </c>
      <c r="U10">
        <v>234</v>
      </c>
      <c r="V10">
        <v>1801835</v>
      </c>
      <c r="W10">
        <v>35374</v>
      </c>
      <c r="X10" t="s">
        <v>292</v>
      </c>
    </row>
    <row r="11" spans="1:24" x14ac:dyDescent="0.25">
      <c r="A11" s="3">
        <v>43861</v>
      </c>
      <c r="B11" t="s">
        <v>23</v>
      </c>
      <c r="C11">
        <v>46756648</v>
      </c>
      <c r="D11">
        <v>1693</v>
      </c>
      <c r="E11">
        <v>42</v>
      </c>
      <c r="F11">
        <v>78</v>
      </c>
      <c r="G11" s="2">
        <v>88.75</v>
      </c>
      <c r="H11">
        <v>19743</v>
      </c>
      <c r="I11" t="s">
        <v>12</v>
      </c>
      <c r="J11">
        <v>815</v>
      </c>
      <c r="K11" s="2">
        <v>4.13</v>
      </c>
      <c r="L11" t="s">
        <v>12</v>
      </c>
      <c r="M11" t="s">
        <v>204</v>
      </c>
      <c r="N11" t="s">
        <v>12</v>
      </c>
      <c r="O11">
        <v>354530</v>
      </c>
      <c r="P11">
        <v>28500</v>
      </c>
      <c r="Q11">
        <v>0</v>
      </c>
      <c r="R11">
        <v>153416</v>
      </c>
      <c r="S11">
        <v>617</v>
      </c>
      <c r="T11">
        <v>7582</v>
      </c>
      <c r="U11">
        <v>610</v>
      </c>
      <c r="V11">
        <v>7064329</v>
      </c>
      <c r="W11">
        <v>151087</v>
      </c>
      <c r="X11" t="s">
        <v>12</v>
      </c>
    </row>
    <row r="12" spans="1:24" x14ac:dyDescent="0.25">
      <c r="A12" s="3">
        <v>43862</v>
      </c>
      <c r="B12" t="s">
        <v>24</v>
      </c>
      <c r="C12">
        <v>84097623</v>
      </c>
      <c r="D12">
        <v>2111</v>
      </c>
      <c r="E12">
        <v>46</v>
      </c>
      <c r="F12">
        <v>62</v>
      </c>
      <c r="G12" s="2">
        <v>76.34</v>
      </c>
      <c r="H12">
        <v>27890</v>
      </c>
      <c r="I12" t="s">
        <v>293</v>
      </c>
      <c r="J12">
        <v>2556</v>
      </c>
      <c r="K12" s="2">
        <v>9.16</v>
      </c>
      <c r="L12" t="s">
        <v>12</v>
      </c>
      <c r="M12" t="s">
        <v>205</v>
      </c>
      <c r="N12" t="s">
        <v>293</v>
      </c>
      <c r="O12">
        <v>320117</v>
      </c>
      <c r="P12">
        <v>17976</v>
      </c>
      <c r="Q12">
        <v>277463</v>
      </c>
      <c r="R12">
        <v>24678</v>
      </c>
      <c r="S12">
        <v>4156</v>
      </c>
      <c r="T12">
        <v>3806</v>
      </c>
      <c r="U12">
        <v>214</v>
      </c>
      <c r="V12">
        <v>2612763</v>
      </c>
      <c r="W12">
        <v>31068</v>
      </c>
      <c r="X12" t="s">
        <v>293</v>
      </c>
    </row>
    <row r="13" spans="1:24" x14ac:dyDescent="0.25">
      <c r="A13" s="3">
        <v>43863</v>
      </c>
      <c r="B13" t="s">
        <v>25</v>
      </c>
      <c r="C13">
        <v>67922029</v>
      </c>
      <c r="D13">
        <v>4749</v>
      </c>
      <c r="E13">
        <v>103</v>
      </c>
      <c r="F13">
        <v>178</v>
      </c>
      <c r="G13" s="2">
        <v>23.82</v>
      </c>
      <c r="H13">
        <v>174</v>
      </c>
      <c r="I13" t="s">
        <v>12</v>
      </c>
      <c r="J13">
        <v>208</v>
      </c>
      <c r="K13" s="2">
        <v>119.54</v>
      </c>
      <c r="L13" t="s">
        <v>18</v>
      </c>
      <c r="M13" t="s">
        <v>206</v>
      </c>
      <c r="N13" t="s">
        <v>12</v>
      </c>
      <c r="O13">
        <v>308134</v>
      </c>
      <c r="P13">
        <v>46413</v>
      </c>
      <c r="Q13">
        <v>0</v>
      </c>
      <c r="R13">
        <v>0</v>
      </c>
      <c r="S13">
        <v>73</v>
      </c>
      <c r="T13">
        <v>4537</v>
      </c>
      <c r="U13">
        <v>683</v>
      </c>
      <c r="V13">
        <v>17515234</v>
      </c>
      <c r="W13">
        <v>257873</v>
      </c>
      <c r="X13" t="s">
        <v>12</v>
      </c>
    </row>
    <row r="14" spans="1:24" x14ac:dyDescent="0.25">
      <c r="A14" s="3">
        <v>43864</v>
      </c>
      <c r="B14" t="s">
        <v>26</v>
      </c>
      <c r="C14">
        <v>34865919</v>
      </c>
      <c r="D14">
        <v>3100</v>
      </c>
      <c r="E14">
        <v>64</v>
      </c>
      <c r="F14">
        <v>145</v>
      </c>
      <c r="G14" s="2">
        <v>91.46</v>
      </c>
      <c r="H14">
        <v>36936</v>
      </c>
      <c r="I14" t="s">
        <v>293</v>
      </c>
      <c r="J14">
        <v>2546</v>
      </c>
      <c r="K14" s="2">
        <v>6.89</v>
      </c>
      <c r="L14" t="s">
        <v>10</v>
      </c>
      <c r="M14" t="s">
        <v>207</v>
      </c>
      <c r="N14" t="s">
        <v>293</v>
      </c>
      <c r="O14">
        <v>284226</v>
      </c>
      <c r="P14">
        <v>3055</v>
      </c>
      <c r="Q14">
        <v>247089</v>
      </c>
      <c r="R14">
        <v>34082</v>
      </c>
      <c r="S14">
        <v>1915</v>
      </c>
      <c r="T14">
        <v>8152</v>
      </c>
      <c r="U14">
        <v>88</v>
      </c>
      <c r="V14">
        <v>3635705</v>
      </c>
      <c r="W14">
        <v>104277</v>
      </c>
      <c r="X14" t="s">
        <v>293</v>
      </c>
    </row>
    <row r="15" spans="1:24" x14ac:dyDescent="0.25">
      <c r="A15" s="3">
        <v>43865</v>
      </c>
      <c r="B15" t="s">
        <v>27</v>
      </c>
      <c r="C15">
        <v>221295851</v>
      </c>
      <c r="D15">
        <v>4011</v>
      </c>
      <c r="E15">
        <v>66</v>
      </c>
      <c r="F15">
        <v>217</v>
      </c>
      <c r="G15" s="2">
        <v>55.56</v>
      </c>
      <c r="H15">
        <v>207453</v>
      </c>
      <c r="I15" t="s">
        <v>293</v>
      </c>
      <c r="J15">
        <v>18772</v>
      </c>
      <c r="K15" s="2">
        <v>9.0500000000000007</v>
      </c>
      <c r="L15" t="s">
        <v>28</v>
      </c>
      <c r="M15" t="s">
        <v>208</v>
      </c>
      <c r="N15" t="s">
        <v>293</v>
      </c>
      <c r="O15">
        <v>281863</v>
      </c>
      <c r="P15">
        <v>6035</v>
      </c>
      <c r="Q15">
        <v>256058</v>
      </c>
      <c r="R15">
        <v>19770</v>
      </c>
      <c r="S15">
        <v>809</v>
      </c>
      <c r="T15">
        <v>1274</v>
      </c>
      <c r="U15">
        <v>27</v>
      </c>
      <c r="V15">
        <v>2058872</v>
      </c>
      <c r="W15">
        <v>9304</v>
      </c>
      <c r="X15" t="s">
        <v>293</v>
      </c>
    </row>
    <row r="16" spans="1:24" x14ac:dyDescent="0.25">
      <c r="A16" s="3">
        <v>43866</v>
      </c>
      <c r="B16" t="s">
        <v>29</v>
      </c>
      <c r="C16">
        <v>164851401</v>
      </c>
      <c r="D16">
        <v>3745</v>
      </c>
      <c r="E16">
        <v>72</v>
      </c>
      <c r="F16">
        <v>250</v>
      </c>
      <c r="G16" s="2">
        <v>85.45</v>
      </c>
      <c r="H16">
        <v>106</v>
      </c>
      <c r="I16" t="s">
        <v>293</v>
      </c>
      <c r="J16">
        <v>4</v>
      </c>
      <c r="K16" s="2">
        <v>3.77</v>
      </c>
      <c r="L16" t="s">
        <v>18</v>
      </c>
      <c r="M16" t="s">
        <v>209</v>
      </c>
      <c r="N16" t="s">
        <v>293</v>
      </c>
      <c r="O16">
        <v>249651</v>
      </c>
      <c r="P16">
        <v>3306</v>
      </c>
      <c r="Q16">
        <v>143824</v>
      </c>
      <c r="R16">
        <v>102521</v>
      </c>
      <c r="S16">
        <v>0</v>
      </c>
      <c r="T16">
        <v>1514</v>
      </c>
      <c r="U16">
        <v>20</v>
      </c>
      <c r="V16">
        <v>1225124</v>
      </c>
      <c r="W16">
        <v>7432</v>
      </c>
      <c r="X16" t="s">
        <v>293</v>
      </c>
    </row>
    <row r="17" spans="1:24" x14ac:dyDescent="0.25">
      <c r="A17" s="3">
        <v>43867</v>
      </c>
      <c r="B17" t="s">
        <v>30</v>
      </c>
      <c r="C17">
        <v>60452568</v>
      </c>
      <c r="D17">
        <v>3159</v>
      </c>
      <c r="E17">
        <v>70</v>
      </c>
      <c r="F17">
        <v>347</v>
      </c>
      <c r="G17" s="2">
        <v>89.95</v>
      </c>
      <c r="H17">
        <v>66213</v>
      </c>
      <c r="I17" t="s">
        <v>12</v>
      </c>
      <c r="J17">
        <v>1038</v>
      </c>
      <c r="K17" s="2">
        <v>1.57</v>
      </c>
      <c r="L17" t="s">
        <v>12</v>
      </c>
      <c r="M17" t="s">
        <v>210</v>
      </c>
      <c r="N17" t="s">
        <v>12</v>
      </c>
      <c r="O17">
        <v>249204</v>
      </c>
      <c r="P17">
        <v>35187</v>
      </c>
      <c r="Q17">
        <v>201323</v>
      </c>
      <c r="R17">
        <v>12694</v>
      </c>
      <c r="S17">
        <v>42</v>
      </c>
      <c r="T17">
        <v>4122</v>
      </c>
      <c r="U17">
        <v>582</v>
      </c>
      <c r="V17">
        <v>7099713</v>
      </c>
      <c r="W17">
        <v>117443</v>
      </c>
      <c r="X17" t="s">
        <v>12</v>
      </c>
    </row>
    <row r="18" spans="1:24" x14ac:dyDescent="0.25">
      <c r="A18" s="3">
        <v>43868</v>
      </c>
      <c r="B18" t="s">
        <v>31</v>
      </c>
      <c r="C18">
        <v>84428331</v>
      </c>
      <c r="D18">
        <v>3532</v>
      </c>
      <c r="E18">
        <v>85</v>
      </c>
      <c r="F18">
        <v>485</v>
      </c>
      <c r="G18" s="2">
        <v>26.27</v>
      </c>
      <c r="H18">
        <v>64094</v>
      </c>
      <c r="I18" t="s">
        <v>293</v>
      </c>
      <c r="J18">
        <v>2334</v>
      </c>
      <c r="K18" s="2">
        <v>3.64</v>
      </c>
      <c r="L18" t="s">
        <v>12</v>
      </c>
      <c r="M18" t="s">
        <v>210</v>
      </c>
      <c r="N18" t="s">
        <v>293</v>
      </c>
      <c r="O18">
        <v>237265</v>
      </c>
      <c r="P18">
        <v>5798</v>
      </c>
      <c r="Q18">
        <v>220546</v>
      </c>
      <c r="R18">
        <v>10921</v>
      </c>
      <c r="S18">
        <v>580</v>
      </c>
      <c r="T18">
        <v>2810</v>
      </c>
      <c r="U18">
        <v>69</v>
      </c>
      <c r="V18">
        <v>5081802</v>
      </c>
      <c r="W18">
        <v>60191</v>
      </c>
      <c r="X18" t="s">
        <v>293</v>
      </c>
    </row>
    <row r="19" spans="1:24" x14ac:dyDescent="0.25">
      <c r="A19" s="3">
        <v>43869</v>
      </c>
      <c r="B19" t="s">
        <v>32</v>
      </c>
      <c r="C19">
        <v>45236884</v>
      </c>
      <c r="D19">
        <v>2734</v>
      </c>
      <c r="E19">
        <v>87</v>
      </c>
      <c r="F19">
        <v>567</v>
      </c>
      <c r="G19" s="2">
        <v>54.17</v>
      </c>
      <c r="H19">
        <v>40</v>
      </c>
      <c r="I19" t="s">
        <v>292</v>
      </c>
      <c r="J19">
        <v>8</v>
      </c>
      <c r="K19" s="2">
        <v>20</v>
      </c>
      <c r="L19" t="s">
        <v>18</v>
      </c>
      <c r="M19" t="s">
        <v>210</v>
      </c>
      <c r="N19" t="s">
        <v>292</v>
      </c>
      <c r="O19">
        <v>228195</v>
      </c>
      <c r="P19">
        <v>4251</v>
      </c>
      <c r="Q19">
        <v>99852</v>
      </c>
      <c r="R19">
        <v>124092</v>
      </c>
      <c r="S19">
        <v>1150</v>
      </c>
      <c r="T19">
        <v>5044</v>
      </c>
      <c r="U19">
        <v>94</v>
      </c>
      <c r="V19">
        <v>794544</v>
      </c>
      <c r="W19">
        <v>17564</v>
      </c>
      <c r="X19" t="s">
        <v>292</v>
      </c>
    </row>
    <row r="20" spans="1:24" x14ac:dyDescent="0.25">
      <c r="A20" s="3">
        <v>43870</v>
      </c>
      <c r="B20" t="s">
        <v>33</v>
      </c>
      <c r="C20">
        <v>83811260</v>
      </c>
      <c r="D20">
        <v>3027</v>
      </c>
      <c r="E20">
        <v>100</v>
      </c>
      <c r="F20">
        <v>587</v>
      </c>
      <c r="G20" s="2">
        <v>58.53</v>
      </c>
      <c r="H20">
        <v>1602</v>
      </c>
      <c r="I20" t="s">
        <v>12</v>
      </c>
      <c r="J20">
        <v>168</v>
      </c>
      <c r="K20" s="2">
        <v>10.49</v>
      </c>
      <c r="L20" t="s">
        <v>14</v>
      </c>
      <c r="M20" t="s">
        <v>210</v>
      </c>
      <c r="N20" t="s">
        <v>12</v>
      </c>
      <c r="O20">
        <v>215210</v>
      </c>
      <c r="P20">
        <v>9252</v>
      </c>
      <c r="Q20">
        <v>196200</v>
      </c>
      <c r="R20">
        <v>9758</v>
      </c>
      <c r="S20">
        <v>236</v>
      </c>
      <c r="T20">
        <v>2568</v>
      </c>
      <c r="U20">
        <v>110</v>
      </c>
      <c r="V20">
        <v>8586648</v>
      </c>
      <c r="W20">
        <v>102452</v>
      </c>
      <c r="X20" t="s">
        <v>12</v>
      </c>
    </row>
    <row r="21" spans="1:24" x14ac:dyDescent="0.25">
      <c r="A21" s="3">
        <v>43871</v>
      </c>
      <c r="B21" t="s">
        <v>34</v>
      </c>
      <c r="C21">
        <v>65288306</v>
      </c>
      <c r="D21">
        <v>2538</v>
      </c>
      <c r="E21">
        <v>107</v>
      </c>
      <c r="F21">
        <v>657</v>
      </c>
      <c r="G21" s="2">
        <v>86.87</v>
      </c>
      <c r="H21">
        <v>90</v>
      </c>
      <c r="I21" t="s">
        <v>12</v>
      </c>
      <c r="J21">
        <v>9</v>
      </c>
      <c r="K21" s="2">
        <v>10</v>
      </c>
      <c r="L21" t="s">
        <v>28</v>
      </c>
      <c r="M21" t="s">
        <v>210</v>
      </c>
      <c r="N21" t="s">
        <v>12</v>
      </c>
      <c r="O21">
        <v>195633</v>
      </c>
      <c r="P21">
        <v>30312</v>
      </c>
      <c r="Q21">
        <v>82460</v>
      </c>
      <c r="R21">
        <v>82861</v>
      </c>
      <c r="S21">
        <v>384</v>
      </c>
      <c r="T21">
        <v>2996</v>
      </c>
      <c r="U21">
        <v>464</v>
      </c>
      <c r="V21">
        <v>3992206</v>
      </c>
      <c r="W21">
        <v>61147</v>
      </c>
      <c r="X21" t="s">
        <v>12</v>
      </c>
    </row>
    <row r="22" spans="1:24" x14ac:dyDescent="0.25">
      <c r="A22" s="3">
        <v>43872</v>
      </c>
      <c r="B22" t="s">
        <v>35</v>
      </c>
      <c r="C22">
        <v>40306025</v>
      </c>
      <c r="D22">
        <v>2042</v>
      </c>
      <c r="E22">
        <v>100</v>
      </c>
      <c r="F22">
        <v>703</v>
      </c>
      <c r="G22" s="2">
        <v>30.17</v>
      </c>
      <c r="H22">
        <v>60991</v>
      </c>
      <c r="I22" t="s">
        <v>293</v>
      </c>
      <c r="J22">
        <v>10190</v>
      </c>
      <c r="K22" s="2">
        <v>16.71</v>
      </c>
      <c r="L22" t="s">
        <v>18</v>
      </c>
      <c r="M22" t="s">
        <v>210</v>
      </c>
      <c r="N22" t="s">
        <v>293</v>
      </c>
      <c r="O22">
        <v>140603</v>
      </c>
      <c r="P22">
        <v>5161</v>
      </c>
      <c r="Q22">
        <v>101025</v>
      </c>
      <c r="R22">
        <v>34417</v>
      </c>
      <c r="S22">
        <v>517</v>
      </c>
      <c r="T22">
        <v>3488</v>
      </c>
      <c r="U22">
        <v>128</v>
      </c>
      <c r="V22">
        <v>1092741</v>
      </c>
      <c r="W22">
        <v>27111</v>
      </c>
      <c r="X22" t="s">
        <v>293</v>
      </c>
    </row>
    <row r="23" spans="1:24" x14ac:dyDescent="0.25">
      <c r="A23" s="3">
        <v>43873</v>
      </c>
      <c r="B23" t="s">
        <v>36</v>
      </c>
      <c r="C23">
        <v>109722719</v>
      </c>
      <c r="D23">
        <v>1886</v>
      </c>
      <c r="E23">
        <v>5</v>
      </c>
      <c r="F23">
        <v>432</v>
      </c>
      <c r="G23" s="2">
        <v>46.96</v>
      </c>
      <c r="H23">
        <v>8479</v>
      </c>
      <c r="I23" t="s">
        <v>293</v>
      </c>
      <c r="J23">
        <v>2019</v>
      </c>
      <c r="K23" s="2">
        <v>23.81</v>
      </c>
      <c r="L23" t="s">
        <v>12</v>
      </c>
      <c r="M23" t="s">
        <v>210</v>
      </c>
      <c r="N23" t="s">
        <v>293</v>
      </c>
      <c r="O23">
        <v>119460</v>
      </c>
      <c r="P23">
        <v>2150</v>
      </c>
      <c r="Q23">
        <v>66837</v>
      </c>
      <c r="R23">
        <v>50473</v>
      </c>
      <c r="S23">
        <v>239</v>
      </c>
      <c r="T23">
        <v>1089</v>
      </c>
      <c r="U23">
        <v>20</v>
      </c>
      <c r="V23">
        <v>1669996</v>
      </c>
      <c r="W23">
        <v>15220</v>
      </c>
      <c r="X23" t="s">
        <v>293</v>
      </c>
    </row>
    <row r="24" spans="1:24" x14ac:dyDescent="0.25">
      <c r="A24" s="3">
        <v>43874</v>
      </c>
      <c r="B24" t="s">
        <v>37</v>
      </c>
      <c r="C24">
        <v>273808365</v>
      </c>
      <c r="D24">
        <v>13645</v>
      </c>
      <c r="E24">
        <v>253</v>
      </c>
      <c r="F24">
        <v>1081</v>
      </c>
      <c r="G24" s="2">
        <v>8.5299999999999994</v>
      </c>
      <c r="H24">
        <v>522</v>
      </c>
      <c r="I24" t="s">
        <v>293</v>
      </c>
      <c r="J24">
        <v>217</v>
      </c>
      <c r="K24" s="2">
        <v>41.57</v>
      </c>
      <c r="L24" t="s">
        <v>14</v>
      </c>
      <c r="M24" t="s">
        <v>210</v>
      </c>
      <c r="N24" t="s">
        <v>293</v>
      </c>
      <c r="O24">
        <v>118753</v>
      </c>
      <c r="P24">
        <v>5521</v>
      </c>
      <c r="Q24">
        <v>75645</v>
      </c>
      <c r="R24">
        <v>37587</v>
      </c>
      <c r="S24">
        <v>0</v>
      </c>
      <c r="T24">
        <v>434</v>
      </c>
      <c r="U24">
        <v>20</v>
      </c>
      <c r="V24">
        <v>1633156</v>
      </c>
      <c r="W24">
        <v>5965</v>
      </c>
      <c r="X24" t="s">
        <v>293</v>
      </c>
    </row>
    <row r="25" spans="1:24" x14ac:dyDescent="0.25">
      <c r="A25" s="3">
        <v>43875</v>
      </c>
      <c r="B25" t="s">
        <v>38</v>
      </c>
      <c r="C25">
        <v>37775022</v>
      </c>
      <c r="D25">
        <v>6484</v>
      </c>
      <c r="E25">
        <v>152</v>
      </c>
      <c r="F25">
        <v>1683</v>
      </c>
      <c r="G25" s="2">
        <v>75.61</v>
      </c>
      <c r="H25">
        <v>2118646</v>
      </c>
      <c r="I25" t="s">
        <v>291</v>
      </c>
      <c r="J25">
        <v>323729</v>
      </c>
      <c r="K25" s="2">
        <v>15.28</v>
      </c>
      <c r="L25" t="s">
        <v>18</v>
      </c>
      <c r="M25" t="s">
        <v>210</v>
      </c>
      <c r="N25" t="s">
        <v>291</v>
      </c>
      <c r="O25">
        <v>118561</v>
      </c>
      <c r="P25">
        <v>8966</v>
      </c>
      <c r="Q25">
        <v>103106</v>
      </c>
      <c r="R25">
        <v>6489</v>
      </c>
      <c r="S25">
        <v>2263</v>
      </c>
      <c r="T25">
        <v>3139</v>
      </c>
      <c r="U25">
        <v>237</v>
      </c>
      <c r="V25">
        <v>4319172</v>
      </c>
      <c r="W25">
        <v>114339</v>
      </c>
      <c r="X25" t="s">
        <v>291</v>
      </c>
    </row>
    <row r="26" spans="1:24" x14ac:dyDescent="0.25">
      <c r="A26" s="3">
        <v>43876</v>
      </c>
      <c r="B26" t="s">
        <v>39</v>
      </c>
      <c r="C26">
        <v>2807805</v>
      </c>
      <c r="D26">
        <v>2075</v>
      </c>
      <c r="E26">
        <v>143</v>
      </c>
      <c r="F26">
        <v>1289</v>
      </c>
      <c r="G26" s="2">
        <v>97.87</v>
      </c>
      <c r="H26">
        <v>141</v>
      </c>
      <c r="I26" t="s">
        <v>293</v>
      </c>
      <c r="J26">
        <v>0</v>
      </c>
      <c r="K26" s="2">
        <v>0</v>
      </c>
      <c r="L26" t="s">
        <v>22</v>
      </c>
      <c r="M26" t="s">
        <v>210</v>
      </c>
      <c r="N26" t="s">
        <v>293</v>
      </c>
      <c r="O26">
        <v>112092</v>
      </c>
      <c r="P26">
        <v>178</v>
      </c>
      <c r="Q26">
        <v>108831</v>
      </c>
      <c r="R26">
        <v>3083</v>
      </c>
      <c r="S26">
        <v>77</v>
      </c>
      <c r="T26">
        <v>39922</v>
      </c>
      <c r="U26">
        <v>63</v>
      </c>
      <c r="V26">
        <v>511000</v>
      </c>
      <c r="W26">
        <v>181993</v>
      </c>
      <c r="X26" t="s">
        <v>293</v>
      </c>
    </row>
    <row r="27" spans="1:24" x14ac:dyDescent="0.25">
      <c r="A27" s="3">
        <v>43877</v>
      </c>
      <c r="B27" t="s">
        <v>40</v>
      </c>
      <c r="C27">
        <v>18798667</v>
      </c>
      <c r="D27">
        <v>2114</v>
      </c>
      <c r="E27">
        <v>104</v>
      </c>
      <c r="F27">
        <v>1417</v>
      </c>
      <c r="G27" s="2">
        <v>52.58</v>
      </c>
      <c r="H27">
        <v>8929</v>
      </c>
      <c r="I27" t="s">
        <v>293</v>
      </c>
      <c r="J27">
        <v>1692</v>
      </c>
      <c r="K27" s="2">
        <v>18.95</v>
      </c>
      <c r="L27" t="s">
        <v>12</v>
      </c>
      <c r="M27" t="s">
        <v>210</v>
      </c>
      <c r="N27" t="s">
        <v>293</v>
      </c>
      <c r="O27">
        <v>95942</v>
      </c>
      <c r="P27">
        <v>1058</v>
      </c>
      <c r="Q27">
        <v>68871</v>
      </c>
      <c r="R27">
        <v>26013</v>
      </c>
      <c r="S27">
        <v>221</v>
      </c>
      <c r="T27">
        <v>5104</v>
      </c>
      <c r="U27">
        <v>56</v>
      </c>
      <c r="V27">
        <v>2163713</v>
      </c>
      <c r="W27">
        <v>115099</v>
      </c>
      <c r="X27" t="s">
        <v>293</v>
      </c>
    </row>
    <row r="28" spans="1:24" x14ac:dyDescent="0.25">
      <c r="A28" s="3">
        <v>43878</v>
      </c>
      <c r="B28" t="s">
        <v>41</v>
      </c>
      <c r="C28">
        <v>102516525</v>
      </c>
      <c r="D28">
        <v>1936</v>
      </c>
      <c r="E28">
        <v>98</v>
      </c>
      <c r="F28">
        <v>1632</v>
      </c>
      <c r="G28" s="2">
        <v>84.18</v>
      </c>
      <c r="H28">
        <v>1065</v>
      </c>
      <c r="I28" t="s">
        <v>14</v>
      </c>
      <c r="J28">
        <v>35</v>
      </c>
      <c r="K28" s="2">
        <v>3.29</v>
      </c>
      <c r="L28" t="s">
        <v>14</v>
      </c>
      <c r="M28" t="s">
        <v>210</v>
      </c>
      <c r="N28" t="s">
        <v>14</v>
      </c>
      <c r="O28">
        <v>95006</v>
      </c>
      <c r="P28">
        <v>4951</v>
      </c>
      <c r="Q28">
        <v>48898</v>
      </c>
      <c r="R28">
        <v>41157</v>
      </c>
      <c r="S28">
        <v>41</v>
      </c>
      <c r="T28">
        <v>927</v>
      </c>
      <c r="U28">
        <v>48</v>
      </c>
      <c r="V28">
        <v>135000</v>
      </c>
      <c r="W28">
        <v>1317</v>
      </c>
      <c r="X28" t="s">
        <v>14</v>
      </c>
    </row>
    <row r="29" spans="1:24" x14ac:dyDescent="0.25">
      <c r="A29" s="3">
        <v>43879</v>
      </c>
      <c r="B29" t="s">
        <v>42</v>
      </c>
      <c r="C29">
        <v>17668824</v>
      </c>
      <c r="D29">
        <v>1794</v>
      </c>
      <c r="E29">
        <v>140</v>
      </c>
      <c r="F29">
        <v>1742</v>
      </c>
      <c r="G29" s="2">
        <v>83.43</v>
      </c>
      <c r="H29">
        <v>341</v>
      </c>
      <c r="I29" t="s">
        <v>292</v>
      </c>
      <c r="J29">
        <v>9</v>
      </c>
      <c r="K29" s="2">
        <v>2.64</v>
      </c>
      <c r="L29" t="s">
        <v>28</v>
      </c>
      <c r="M29" t="s">
        <v>210</v>
      </c>
      <c r="N29" t="s">
        <v>292</v>
      </c>
      <c r="O29">
        <v>90537</v>
      </c>
      <c r="P29">
        <v>5877</v>
      </c>
      <c r="Q29">
        <v>71318</v>
      </c>
      <c r="R29">
        <v>13342</v>
      </c>
      <c r="S29">
        <v>378</v>
      </c>
      <c r="T29">
        <v>5124</v>
      </c>
      <c r="U29">
        <v>333</v>
      </c>
      <c r="V29">
        <v>258582</v>
      </c>
      <c r="W29">
        <v>14635</v>
      </c>
      <c r="X29" t="s">
        <v>292</v>
      </c>
    </row>
    <row r="30" spans="1:24" x14ac:dyDescent="0.25">
      <c r="A30" s="3">
        <v>43880</v>
      </c>
      <c r="B30" t="s">
        <v>43</v>
      </c>
      <c r="C30">
        <v>11688459</v>
      </c>
      <c r="D30">
        <v>421</v>
      </c>
      <c r="E30">
        <v>115</v>
      </c>
      <c r="F30">
        <v>1701</v>
      </c>
      <c r="G30" s="2">
        <v>79.63</v>
      </c>
      <c r="H30">
        <v>322</v>
      </c>
      <c r="I30" t="s">
        <v>292</v>
      </c>
      <c r="J30">
        <v>56</v>
      </c>
      <c r="K30" s="2">
        <v>17.39</v>
      </c>
      <c r="L30" t="s">
        <v>14</v>
      </c>
      <c r="M30" t="s">
        <v>210</v>
      </c>
      <c r="N30" t="s">
        <v>292</v>
      </c>
      <c r="O30">
        <v>86423</v>
      </c>
      <c r="P30">
        <v>3465</v>
      </c>
      <c r="Q30">
        <v>27373</v>
      </c>
      <c r="R30">
        <v>55585</v>
      </c>
      <c r="S30">
        <v>71</v>
      </c>
      <c r="T30">
        <v>7394</v>
      </c>
      <c r="U30">
        <v>296</v>
      </c>
      <c r="V30">
        <v>183583</v>
      </c>
      <c r="W30">
        <v>15706</v>
      </c>
      <c r="X30" t="s">
        <v>292</v>
      </c>
    </row>
    <row r="31" spans="1:24" x14ac:dyDescent="0.25">
      <c r="A31" s="3">
        <v>43881</v>
      </c>
      <c r="B31" t="s">
        <v>44</v>
      </c>
      <c r="C31">
        <v>10105596</v>
      </c>
      <c r="D31">
        <v>547</v>
      </c>
      <c r="E31">
        <v>123</v>
      </c>
      <c r="F31">
        <v>1975</v>
      </c>
      <c r="G31" s="2">
        <v>66.58</v>
      </c>
      <c r="H31">
        <v>2071</v>
      </c>
      <c r="I31" t="s">
        <v>12</v>
      </c>
      <c r="J31">
        <v>257</v>
      </c>
      <c r="K31" s="2">
        <v>12.41</v>
      </c>
      <c r="L31" t="s">
        <v>14</v>
      </c>
      <c r="M31" t="s">
        <v>210</v>
      </c>
      <c r="N31" t="s">
        <v>12</v>
      </c>
      <c r="O31">
        <v>81967</v>
      </c>
      <c r="P31">
        <v>5766</v>
      </c>
      <c r="Q31">
        <v>0</v>
      </c>
      <c r="R31">
        <v>0</v>
      </c>
      <c r="S31">
        <v>38</v>
      </c>
      <c r="T31">
        <v>8111</v>
      </c>
      <c r="U31">
        <v>571</v>
      </c>
      <c r="V31">
        <v>863315</v>
      </c>
      <c r="W31">
        <v>85429</v>
      </c>
      <c r="X31" t="s">
        <v>12</v>
      </c>
    </row>
    <row r="32" spans="1:24" x14ac:dyDescent="0.25">
      <c r="A32" s="3">
        <v>43882</v>
      </c>
      <c r="B32" t="s">
        <v>45</v>
      </c>
      <c r="C32">
        <v>5118446</v>
      </c>
      <c r="D32">
        <v>629</v>
      </c>
      <c r="E32">
        <v>4</v>
      </c>
      <c r="F32">
        <v>597</v>
      </c>
      <c r="G32" s="2">
        <v>65.040000000000006</v>
      </c>
      <c r="H32">
        <v>171</v>
      </c>
      <c r="I32" t="s">
        <v>293</v>
      </c>
      <c r="J32">
        <v>55</v>
      </c>
      <c r="K32" s="2">
        <v>32.159999999999997</v>
      </c>
      <c r="L32" t="s">
        <v>22</v>
      </c>
      <c r="M32" t="s">
        <v>210</v>
      </c>
      <c r="N32" t="s">
        <v>293</v>
      </c>
      <c r="O32">
        <v>80713</v>
      </c>
      <c r="P32">
        <v>492</v>
      </c>
      <c r="Q32">
        <v>70910</v>
      </c>
      <c r="R32">
        <v>9311</v>
      </c>
      <c r="S32">
        <v>177</v>
      </c>
      <c r="T32">
        <v>15769</v>
      </c>
      <c r="U32">
        <v>96</v>
      </c>
      <c r="V32">
        <v>309212</v>
      </c>
      <c r="W32">
        <v>60411</v>
      </c>
      <c r="X32" t="s">
        <v>293</v>
      </c>
    </row>
    <row r="33" spans="1:24" x14ac:dyDescent="0.25">
      <c r="A33" s="3">
        <v>43883</v>
      </c>
      <c r="B33" t="s">
        <v>46</v>
      </c>
      <c r="C33">
        <v>9197590</v>
      </c>
      <c r="D33">
        <v>1761</v>
      </c>
      <c r="E33">
        <v>207</v>
      </c>
      <c r="F33">
        <v>3883</v>
      </c>
      <c r="G33" s="2">
        <v>84.97</v>
      </c>
      <c r="H33">
        <v>16157</v>
      </c>
      <c r="I33" t="s">
        <v>293</v>
      </c>
      <c r="J33">
        <v>953</v>
      </c>
      <c r="K33" s="2">
        <v>5.9</v>
      </c>
      <c r="L33" t="s">
        <v>14</v>
      </c>
      <c r="M33" t="s">
        <v>210</v>
      </c>
      <c r="N33" t="s">
        <v>293</v>
      </c>
      <c r="O33">
        <v>79559</v>
      </c>
      <c r="P33">
        <v>576</v>
      </c>
      <c r="Q33">
        <v>53427</v>
      </c>
      <c r="R33">
        <v>25556</v>
      </c>
      <c r="S33">
        <v>358</v>
      </c>
      <c r="T33">
        <v>8650</v>
      </c>
      <c r="U33">
        <v>63</v>
      </c>
      <c r="V33">
        <v>1872453</v>
      </c>
      <c r="W33">
        <v>203581</v>
      </c>
      <c r="X33" t="s">
        <v>293</v>
      </c>
    </row>
    <row r="34" spans="1:24" x14ac:dyDescent="0.25">
      <c r="A34" s="3">
        <v>43884</v>
      </c>
      <c r="B34" t="s">
        <v>47</v>
      </c>
      <c r="C34">
        <v>43705858</v>
      </c>
      <c r="D34">
        <v>323</v>
      </c>
      <c r="E34">
        <v>10</v>
      </c>
      <c r="F34">
        <v>455</v>
      </c>
      <c r="G34" s="2">
        <v>0</v>
      </c>
      <c r="H34">
        <v>112925</v>
      </c>
      <c r="I34" t="s">
        <v>12</v>
      </c>
      <c r="J34">
        <v>3533</v>
      </c>
      <c r="K34" s="2">
        <v>3.13</v>
      </c>
      <c r="L34" t="s">
        <v>18</v>
      </c>
      <c r="M34" t="s">
        <v>210</v>
      </c>
      <c r="N34" t="s">
        <v>12</v>
      </c>
      <c r="O34">
        <v>76808</v>
      </c>
      <c r="P34">
        <v>1819</v>
      </c>
      <c r="Q34">
        <v>42524</v>
      </c>
      <c r="R34">
        <v>32465</v>
      </c>
      <c r="S34">
        <v>158</v>
      </c>
      <c r="T34">
        <v>1757</v>
      </c>
      <c r="U34">
        <v>42</v>
      </c>
      <c r="V34">
        <v>1116641</v>
      </c>
      <c r="W34">
        <v>25549</v>
      </c>
      <c r="X34" t="s">
        <v>12</v>
      </c>
    </row>
    <row r="35" spans="1:24" x14ac:dyDescent="0.25">
      <c r="A35" s="3">
        <v>43885</v>
      </c>
      <c r="B35" t="s">
        <v>48</v>
      </c>
      <c r="C35">
        <v>10858648</v>
      </c>
      <c r="D35">
        <v>564</v>
      </c>
      <c r="E35">
        <v>160</v>
      </c>
      <c r="F35">
        <v>1743</v>
      </c>
      <c r="G35" s="2">
        <v>33.619999999999997</v>
      </c>
      <c r="H35">
        <v>4548</v>
      </c>
      <c r="I35" t="s">
        <v>291</v>
      </c>
      <c r="J35">
        <v>51</v>
      </c>
      <c r="K35" s="2">
        <v>1.1200000000000001</v>
      </c>
      <c r="L35" t="s">
        <v>14</v>
      </c>
      <c r="M35" t="s">
        <v>210</v>
      </c>
      <c r="N35" t="s">
        <v>291</v>
      </c>
      <c r="O35">
        <v>76536</v>
      </c>
      <c r="P35">
        <v>1246</v>
      </c>
      <c r="Q35">
        <v>40539</v>
      </c>
      <c r="R35">
        <v>34751</v>
      </c>
      <c r="S35">
        <v>317</v>
      </c>
      <c r="T35">
        <v>7048</v>
      </c>
      <c r="U35">
        <v>115</v>
      </c>
      <c r="V35">
        <v>281926</v>
      </c>
      <c r="W35">
        <v>25963</v>
      </c>
      <c r="X35" t="s">
        <v>291</v>
      </c>
    </row>
    <row r="36" spans="1:24" x14ac:dyDescent="0.25">
      <c r="A36" s="3">
        <v>43886</v>
      </c>
      <c r="B36" t="s">
        <v>49</v>
      </c>
      <c r="C36">
        <v>4321282</v>
      </c>
      <c r="D36">
        <v>853</v>
      </c>
      <c r="E36">
        <v>80</v>
      </c>
      <c r="F36">
        <v>2605</v>
      </c>
      <c r="G36" s="2">
        <v>87.85</v>
      </c>
      <c r="H36">
        <v>889</v>
      </c>
      <c r="I36" t="s">
        <v>291</v>
      </c>
      <c r="J36">
        <v>33</v>
      </c>
      <c r="K36" s="2">
        <v>3.71</v>
      </c>
      <c r="L36" t="s">
        <v>14</v>
      </c>
      <c r="M36" t="s">
        <v>210</v>
      </c>
      <c r="N36" t="s">
        <v>291</v>
      </c>
      <c r="O36">
        <v>71418</v>
      </c>
      <c r="P36">
        <v>1574</v>
      </c>
      <c r="Q36">
        <v>45658</v>
      </c>
      <c r="R36">
        <v>24186</v>
      </c>
      <c r="S36">
        <v>161</v>
      </c>
      <c r="T36">
        <v>16527</v>
      </c>
      <c r="U36">
        <v>364</v>
      </c>
      <c r="V36">
        <v>240995</v>
      </c>
      <c r="W36">
        <v>55769</v>
      </c>
      <c r="X36" t="s">
        <v>291</v>
      </c>
    </row>
    <row r="37" spans="1:24" x14ac:dyDescent="0.25">
      <c r="A37" s="3">
        <v>43887</v>
      </c>
      <c r="B37" t="s">
        <v>50</v>
      </c>
      <c r="C37">
        <v>11594739</v>
      </c>
      <c r="D37">
        <v>963</v>
      </c>
      <c r="E37">
        <v>60</v>
      </c>
      <c r="F37">
        <v>2425</v>
      </c>
      <c r="G37" s="2">
        <v>91.96</v>
      </c>
      <c r="H37">
        <v>333029</v>
      </c>
      <c r="I37" t="s">
        <v>12</v>
      </c>
      <c r="J37">
        <v>14894</v>
      </c>
      <c r="K37" s="2">
        <v>4.47</v>
      </c>
      <c r="L37" t="s">
        <v>18</v>
      </c>
      <c r="M37" t="s">
        <v>211</v>
      </c>
      <c r="N37" t="s">
        <v>12</v>
      </c>
      <c r="O37">
        <v>71158</v>
      </c>
      <c r="P37">
        <v>9859</v>
      </c>
      <c r="Q37">
        <v>17661</v>
      </c>
      <c r="R37">
        <v>43638</v>
      </c>
      <c r="S37">
        <v>61</v>
      </c>
      <c r="T37">
        <v>6137</v>
      </c>
      <c r="U37">
        <v>850</v>
      </c>
      <c r="V37">
        <v>1767120</v>
      </c>
      <c r="W37">
        <v>152407</v>
      </c>
      <c r="X37" t="s">
        <v>12</v>
      </c>
    </row>
    <row r="38" spans="1:24" x14ac:dyDescent="0.25">
      <c r="A38" s="3">
        <v>43888</v>
      </c>
      <c r="B38" t="s">
        <v>51</v>
      </c>
      <c r="C38">
        <v>4276658</v>
      </c>
      <c r="D38">
        <v>1364</v>
      </c>
      <c r="E38">
        <v>43</v>
      </c>
      <c r="F38">
        <v>2842</v>
      </c>
      <c r="G38" s="2">
        <v>90.88</v>
      </c>
      <c r="H38">
        <v>85622</v>
      </c>
      <c r="I38" t="s">
        <v>293</v>
      </c>
      <c r="J38">
        <v>1161</v>
      </c>
      <c r="K38" s="2">
        <v>1.36</v>
      </c>
      <c r="L38" t="s">
        <v>22</v>
      </c>
      <c r="M38" t="s">
        <v>212</v>
      </c>
      <c r="N38" t="s">
        <v>293</v>
      </c>
      <c r="O38">
        <v>70045</v>
      </c>
      <c r="P38">
        <v>469</v>
      </c>
      <c r="Q38">
        <v>61610</v>
      </c>
      <c r="R38">
        <v>7966</v>
      </c>
      <c r="S38">
        <v>127</v>
      </c>
      <c r="T38">
        <v>16378</v>
      </c>
      <c r="U38">
        <v>110</v>
      </c>
      <c r="V38">
        <v>522200</v>
      </c>
      <c r="W38">
        <v>122105</v>
      </c>
      <c r="X38" t="s">
        <v>293</v>
      </c>
    </row>
    <row r="39" spans="1:24" x14ac:dyDescent="0.25">
      <c r="A39" s="3">
        <v>43889</v>
      </c>
      <c r="B39" t="s">
        <v>52</v>
      </c>
      <c r="C39">
        <v>9449001</v>
      </c>
      <c r="D39">
        <v>1377</v>
      </c>
      <c r="E39">
        <v>57</v>
      </c>
      <c r="F39">
        <v>3387</v>
      </c>
      <c r="G39" s="2">
        <v>51.02</v>
      </c>
      <c r="H39">
        <v>204005</v>
      </c>
      <c r="I39" t="s">
        <v>12</v>
      </c>
      <c r="J39">
        <v>53096</v>
      </c>
      <c r="K39" s="2">
        <v>26.03</v>
      </c>
      <c r="L39" t="s">
        <v>18</v>
      </c>
      <c r="M39" t="s">
        <v>213</v>
      </c>
      <c r="N39" t="s">
        <v>12</v>
      </c>
      <c r="O39">
        <v>68503</v>
      </c>
      <c r="P39">
        <v>580</v>
      </c>
      <c r="Q39">
        <v>63756</v>
      </c>
      <c r="R39">
        <v>4167</v>
      </c>
      <c r="S39">
        <v>0</v>
      </c>
      <c r="T39">
        <v>7250</v>
      </c>
      <c r="U39">
        <v>61</v>
      </c>
      <c r="V39">
        <v>1344303</v>
      </c>
      <c r="W39">
        <v>142269</v>
      </c>
      <c r="X39" t="s">
        <v>12</v>
      </c>
    </row>
    <row r="40" spans="1:24" x14ac:dyDescent="0.25">
      <c r="A40" s="3">
        <v>43890</v>
      </c>
      <c r="B40" t="s">
        <v>53</v>
      </c>
      <c r="C40">
        <v>9902079</v>
      </c>
      <c r="D40">
        <v>1895</v>
      </c>
      <c r="E40">
        <v>69</v>
      </c>
      <c r="F40">
        <v>3008</v>
      </c>
      <c r="G40" s="2">
        <v>92.66</v>
      </c>
      <c r="H40">
        <v>334</v>
      </c>
      <c r="I40" t="s">
        <v>293</v>
      </c>
      <c r="J40">
        <v>20</v>
      </c>
      <c r="K40" s="2">
        <v>5.99</v>
      </c>
      <c r="L40" t="s">
        <v>14</v>
      </c>
      <c r="M40" t="s">
        <v>214</v>
      </c>
      <c r="N40" t="s">
        <v>293</v>
      </c>
      <c r="O40">
        <v>61845</v>
      </c>
      <c r="P40">
        <v>354</v>
      </c>
      <c r="Q40">
        <v>55739</v>
      </c>
      <c r="R40">
        <v>5752</v>
      </c>
      <c r="S40">
        <v>0</v>
      </c>
      <c r="T40">
        <v>6246</v>
      </c>
      <c r="U40">
        <v>36</v>
      </c>
      <c r="V40">
        <v>5262658</v>
      </c>
      <c r="W40">
        <v>531470</v>
      </c>
      <c r="X40" t="s">
        <v>293</v>
      </c>
    </row>
    <row r="41" spans="1:24" x14ac:dyDescent="0.25">
      <c r="A41" s="3">
        <v>43891</v>
      </c>
      <c r="B41" t="s">
        <v>54</v>
      </c>
      <c r="C41">
        <v>19224023</v>
      </c>
      <c r="D41">
        <v>2384</v>
      </c>
      <c r="E41">
        <v>54</v>
      </c>
      <c r="F41">
        <v>2894</v>
      </c>
      <c r="G41" s="2">
        <v>25.91</v>
      </c>
      <c r="H41">
        <v>2851</v>
      </c>
      <c r="I41" t="s">
        <v>12</v>
      </c>
      <c r="J41">
        <v>349</v>
      </c>
      <c r="K41" s="2">
        <v>12.24</v>
      </c>
      <c r="L41" t="s">
        <v>14</v>
      </c>
      <c r="M41" t="s">
        <v>215</v>
      </c>
      <c r="N41" t="s">
        <v>12</v>
      </c>
      <c r="O41">
        <v>57895</v>
      </c>
      <c r="P41">
        <v>2566</v>
      </c>
      <c r="Q41">
        <v>28992</v>
      </c>
      <c r="R41">
        <v>26337</v>
      </c>
      <c r="S41">
        <v>458</v>
      </c>
      <c r="T41">
        <v>3012</v>
      </c>
      <c r="U41">
        <v>133</v>
      </c>
      <c r="V41">
        <v>1319369</v>
      </c>
      <c r="W41">
        <v>68631</v>
      </c>
      <c r="X41" t="s">
        <v>12</v>
      </c>
    </row>
    <row r="42" spans="1:24" x14ac:dyDescent="0.25">
      <c r="A42" s="3">
        <v>43892</v>
      </c>
      <c r="B42" t="s">
        <v>55</v>
      </c>
      <c r="C42">
        <v>17138756</v>
      </c>
      <c r="D42">
        <v>1974</v>
      </c>
      <c r="E42">
        <v>89</v>
      </c>
      <c r="F42">
        <v>2877</v>
      </c>
      <c r="G42" s="2">
        <v>64.45</v>
      </c>
      <c r="H42">
        <v>8443</v>
      </c>
      <c r="I42" t="s">
        <v>12</v>
      </c>
      <c r="J42">
        <v>401</v>
      </c>
      <c r="K42" s="2">
        <v>4.75</v>
      </c>
      <c r="L42" t="s">
        <v>14</v>
      </c>
      <c r="M42" t="s">
        <v>216</v>
      </c>
      <c r="N42" t="s">
        <v>12</v>
      </c>
      <c r="O42">
        <v>56982</v>
      </c>
      <c r="P42">
        <v>6153</v>
      </c>
      <c r="Q42">
        <v>0</v>
      </c>
      <c r="R42">
        <v>0</v>
      </c>
      <c r="S42">
        <v>37</v>
      </c>
      <c r="T42">
        <v>3325</v>
      </c>
      <c r="U42">
        <v>359</v>
      </c>
      <c r="V42">
        <v>1079860</v>
      </c>
      <c r="W42">
        <v>63007</v>
      </c>
      <c r="X42" t="s">
        <v>12</v>
      </c>
    </row>
    <row r="43" spans="1:24" x14ac:dyDescent="0.25">
      <c r="A43" s="3">
        <v>43893</v>
      </c>
      <c r="B43" t="s">
        <v>56</v>
      </c>
      <c r="C43">
        <v>5854932</v>
      </c>
      <c r="D43">
        <v>2577</v>
      </c>
      <c r="E43">
        <v>75</v>
      </c>
      <c r="F43">
        <v>2596</v>
      </c>
      <c r="G43" s="2">
        <v>24.14</v>
      </c>
      <c r="H43">
        <v>11534</v>
      </c>
      <c r="I43" t="s">
        <v>293</v>
      </c>
      <c r="J43">
        <v>4307</v>
      </c>
      <c r="K43" s="2">
        <v>37.340000000000003</v>
      </c>
      <c r="L43" t="s">
        <v>18</v>
      </c>
      <c r="M43" t="s">
        <v>217</v>
      </c>
      <c r="N43" t="s">
        <v>293</v>
      </c>
      <c r="O43">
        <v>54555</v>
      </c>
      <c r="P43">
        <v>27</v>
      </c>
      <c r="Q43">
        <v>48031</v>
      </c>
      <c r="R43">
        <v>6497</v>
      </c>
      <c r="S43">
        <v>0</v>
      </c>
      <c r="T43">
        <v>9318</v>
      </c>
      <c r="U43">
        <v>5</v>
      </c>
      <c r="V43">
        <v>1474372</v>
      </c>
      <c r="W43">
        <v>251817</v>
      </c>
      <c r="X43" t="s">
        <v>293</v>
      </c>
    </row>
    <row r="44" spans="1:24" x14ac:dyDescent="0.25">
      <c r="A44" s="3">
        <v>43894</v>
      </c>
      <c r="B44" t="s">
        <v>57</v>
      </c>
      <c r="C44">
        <v>17946899</v>
      </c>
      <c r="D44">
        <v>2299</v>
      </c>
      <c r="E44">
        <v>95</v>
      </c>
      <c r="F44">
        <v>2938</v>
      </c>
      <c r="G44" s="2">
        <v>66.180000000000007</v>
      </c>
      <c r="H44">
        <v>14312</v>
      </c>
      <c r="I44" t="s">
        <v>291</v>
      </c>
      <c r="J44">
        <v>1343</v>
      </c>
      <c r="K44" s="2">
        <v>9.3800000000000008</v>
      </c>
      <c r="L44" t="s">
        <v>14</v>
      </c>
      <c r="M44" t="s">
        <v>218</v>
      </c>
      <c r="N44" t="s">
        <v>291</v>
      </c>
      <c r="O44">
        <v>54339</v>
      </c>
      <c r="P44">
        <v>2119</v>
      </c>
      <c r="Q44">
        <v>42070</v>
      </c>
      <c r="R44">
        <v>10150</v>
      </c>
      <c r="S44">
        <v>5</v>
      </c>
      <c r="T44">
        <v>3028</v>
      </c>
      <c r="U44">
        <v>118</v>
      </c>
      <c r="V44">
        <v>172712</v>
      </c>
      <c r="W44">
        <v>9624</v>
      </c>
      <c r="X44" t="s">
        <v>291</v>
      </c>
    </row>
    <row r="45" spans="1:24" x14ac:dyDescent="0.25">
      <c r="A45" s="3">
        <v>43895</v>
      </c>
      <c r="B45" t="s">
        <v>58</v>
      </c>
      <c r="C45">
        <v>10193593</v>
      </c>
      <c r="D45">
        <v>2791</v>
      </c>
      <c r="E45">
        <v>93</v>
      </c>
      <c r="F45">
        <v>2618</v>
      </c>
      <c r="G45" s="2">
        <v>80.64</v>
      </c>
      <c r="H45">
        <v>4370</v>
      </c>
      <c r="I45" t="s">
        <v>12</v>
      </c>
      <c r="J45">
        <v>511</v>
      </c>
      <c r="K45" s="2">
        <v>11.69</v>
      </c>
      <c r="L45" t="s">
        <v>12</v>
      </c>
      <c r="M45" t="s">
        <v>219</v>
      </c>
      <c r="N45" t="s">
        <v>12</v>
      </c>
      <c r="O45">
        <v>52061</v>
      </c>
      <c r="P45">
        <v>1743</v>
      </c>
      <c r="Q45">
        <v>37840</v>
      </c>
      <c r="R45">
        <v>12478</v>
      </c>
      <c r="S45">
        <v>42</v>
      </c>
      <c r="T45">
        <v>5107</v>
      </c>
      <c r="U45">
        <v>171</v>
      </c>
      <c r="V45">
        <v>1705474</v>
      </c>
      <c r="W45">
        <v>167308</v>
      </c>
      <c r="X45" t="s">
        <v>12</v>
      </c>
    </row>
    <row r="46" spans="1:24" x14ac:dyDescent="0.25">
      <c r="A46" s="3">
        <v>43896</v>
      </c>
      <c r="B46" t="s">
        <v>59</v>
      </c>
      <c r="C46">
        <v>37842302</v>
      </c>
      <c r="D46">
        <v>3943</v>
      </c>
      <c r="E46">
        <v>112</v>
      </c>
      <c r="F46">
        <v>2033</v>
      </c>
      <c r="G46" s="2">
        <v>92.85</v>
      </c>
      <c r="H46">
        <v>2446</v>
      </c>
      <c r="I46" t="s">
        <v>12</v>
      </c>
      <c r="J46">
        <v>86</v>
      </c>
      <c r="K46" s="2">
        <v>3.52</v>
      </c>
      <c r="L46" t="s">
        <v>18</v>
      </c>
      <c r="M46" t="s">
        <v>220</v>
      </c>
      <c r="N46" t="s">
        <v>12</v>
      </c>
      <c r="O46">
        <v>49515</v>
      </c>
      <c r="P46">
        <v>1774</v>
      </c>
      <c r="Q46">
        <v>35642</v>
      </c>
      <c r="R46">
        <v>12099</v>
      </c>
      <c r="S46">
        <v>72</v>
      </c>
      <c r="T46">
        <v>1308</v>
      </c>
      <c r="U46">
        <v>47</v>
      </c>
      <c r="V46">
        <v>2374686</v>
      </c>
      <c r="W46">
        <v>62752</v>
      </c>
      <c r="X46" t="s">
        <v>12</v>
      </c>
    </row>
    <row r="47" spans="1:24" x14ac:dyDescent="0.25">
      <c r="A47" s="3">
        <v>43897</v>
      </c>
      <c r="B47" t="s">
        <v>60</v>
      </c>
      <c r="C47">
        <v>206606300</v>
      </c>
      <c r="D47">
        <v>4038</v>
      </c>
      <c r="E47">
        <v>99</v>
      </c>
      <c r="F47">
        <v>2490</v>
      </c>
      <c r="G47" s="2">
        <v>80.38</v>
      </c>
      <c r="H47">
        <v>1038</v>
      </c>
      <c r="I47" t="s">
        <v>14</v>
      </c>
      <c r="J47">
        <v>22</v>
      </c>
      <c r="K47" s="2">
        <v>2.12</v>
      </c>
      <c r="L47" t="s">
        <v>12</v>
      </c>
      <c r="M47" t="s">
        <v>220</v>
      </c>
      <c r="N47" t="s">
        <v>14</v>
      </c>
      <c r="O47">
        <v>45244</v>
      </c>
      <c r="P47">
        <v>930</v>
      </c>
      <c r="Q47">
        <v>32430</v>
      </c>
      <c r="R47">
        <v>11884</v>
      </c>
      <c r="S47">
        <v>7</v>
      </c>
      <c r="T47">
        <v>219</v>
      </c>
      <c r="U47">
        <v>5</v>
      </c>
      <c r="V47">
        <v>306894</v>
      </c>
      <c r="W47">
        <v>1485</v>
      </c>
      <c r="X47" t="s">
        <v>14</v>
      </c>
    </row>
    <row r="48" spans="1:24" x14ac:dyDescent="0.25">
      <c r="A48" s="3">
        <v>43898</v>
      </c>
      <c r="B48" t="s">
        <v>61</v>
      </c>
      <c r="C48">
        <v>9919704</v>
      </c>
      <c r="D48">
        <v>3954</v>
      </c>
      <c r="E48">
        <v>244</v>
      </c>
      <c r="F48">
        <v>2332</v>
      </c>
      <c r="G48" s="2">
        <v>73.650000000000006</v>
      </c>
      <c r="H48">
        <v>14098</v>
      </c>
      <c r="I48" t="s">
        <v>291</v>
      </c>
      <c r="J48">
        <v>1418</v>
      </c>
      <c r="K48" s="2">
        <v>10.06</v>
      </c>
      <c r="L48" t="s">
        <v>12</v>
      </c>
      <c r="M48" t="s">
        <v>220</v>
      </c>
      <c r="N48" t="s">
        <v>291</v>
      </c>
      <c r="O48">
        <v>45098</v>
      </c>
      <c r="P48">
        <v>1423</v>
      </c>
      <c r="Q48">
        <v>6116</v>
      </c>
      <c r="R48">
        <v>37559</v>
      </c>
      <c r="S48">
        <v>52</v>
      </c>
      <c r="T48">
        <v>4546</v>
      </c>
      <c r="U48">
        <v>143</v>
      </c>
      <c r="V48">
        <v>109292</v>
      </c>
      <c r="W48">
        <v>11018</v>
      </c>
      <c r="X48" t="s">
        <v>291</v>
      </c>
    </row>
    <row r="49" spans="1:24" x14ac:dyDescent="0.25">
      <c r="A49" s="3">
        <v>43899</v>
      </c>
      <c r="B49" t="s">
        <v>62</v>
      </c>
      <c r="C49">
        <v>1706669</v>
      </c>
      <c r="D49">
        <v>3900</v>
      </c>
      <c r="E49">
        <v>184</v>
      </c>
      <c r="F49">
        <v>1799</v>
      </c>
      <c r="G49" s="2">
        <v>91.6</v>
      </c>
      <c r="H49">
        <v>13453</v>
      </c>
      <c r="I49" t="s">
        <v>293</v>
      </c>
      <c r="J49">
        <v>308</v>
      </c>
      <c r="K49" s="2">
        <v>2.29</v>
      </c>
      <c r="L49" t="s">
        <v>12</v>
      </c>
      <c r="M49" t="s">
        <v>220</v>
      </c>
      <c r="N49" t="s">
        <v>293</v>
      </c>
      <c r="O49">
        <v>42889</v>
      </c>
      <c r="P49">
        <v>156</v>
      </c>
      <c r="Q49">
        <v>39945</v>
      </c>
      <c r="R49">
        <v>2788</v>
      </c>
      <c r="S49">
        <v>41</v>
      </c>
      <c r="T49">
        <v>25130</v>
      </c>
      <c r="U49">
        <v>91</v>
      </c>
      <c r="V49">
        <v>876700</v>
      </c>
      <c r="W49">
        <v>513691</v>
      </c>
      <c r="X49" t="s">
        <v>293</v>
      </c>
    </row>
    <row r="50" spans="1:24" x14ac:dyDescent="0.25">
      <c r="A50" s="3">
        <v>43900</v>
      </c>
      <c r="B50" t="s">
        <v>63</v>
      </c>
      <c r="C50">
        <v>126435859</v>
      </c>
      <c r="D50">
        <v>5024</v>
      </c>
      <c r="E50">
        <v>279</v>
      </c>
      <c r="F50">
        <v>1911</v>
      </c>
      <c r="G50" s="2">
        <v>98.38</v>
      </c>
      <c r="H50">
        <v>5020</v>
      </c>
      <c r="I50" t="s">
        <v>293</v>
      </c>
      <c r="J50">
        <v>39</v>
      </c>
      <c r="K50" s="2">
        <v>0.78</v>
      </c>
      <c r="L50" t="s">
        <v>10</v>
      </c>
      <c r="M50" t="s">
        <v>221</v>
      </c>
      <c r="N50" t="s">
        <v>293</v>
      </c>
      <c r="O50">
        <v>42263</v>
      </c>
      <c r="P50">
        <v>1026</v>
      </c>
      <c r="Q50">
        <v>28877</v>
      </c>
      <c r="R50">
        <v>12360</v>
      </c>
      <c r="S50">
        <v>115</v>
      </c>
      <c r="T50">
        <v>334</v>
      </c>
      <c r="U50">
        <v>8</v>
      </c>
      <c r="V50">
        <v>938739</v>
      </c>
      <c r="W50">
        <v>7425</v>
      </c>
      <c r="X50" t="s">
        <v>293</v>
      </c>
    </row>
    <row r="51" spans="1:24" x14ac:dyDescent="0.25">
      <c r="A51" s="3">
        <v>43901</v>
      </c>
      <c r="B51" t="s">
        <v>64</v>
      </c>
      <c r="C51">
        <v>2963811</v>
      </c>
      <c r="D51">
        <v>7663</v>
      </c>
      <c r="E51">
        <v>344</v>
      </c>
      <c r="F51">
        <v>2311</v>
      </c>
      <c r="G51" s="2">
        <v>100</v>
      </c>
      <c r="H51">
        <v>18</v>
      </c>
      <c r="I51" t="s">
        <v>293</v>
      </c>
      <c r="J51">
        <v>0</v>
      </c>
      <c r="K51" s="2">
        <v>0</v>
      </c>
      <c r="L51" t="s">
        <v>18</v>
      </c>
      <c r="M51" t="s">
        <v>222</v>
      </c>
      <c r="N51" t="s">
        <v>293</v>
      </c>
      <c r="O51">
        <v>39819</v>
      </c>
      <c r="P51">
        <v>772</v>
      </c>
      <c r="Q51">
        <v>31556</v>
      </c>
      <c r="R51">
        <v>7491</v>
      </c>
      <c r="S51">
        <v>0</v>
      </c>
      <c r="T51">
        <v>13435</v>
      </c>
      <c r="U51">
        <v>260</v>
      </c>
      <c r="V51">
        <v>171600</v>
      </c>
      <c r="W51">
        <v>57898</v>
      </c>
      <c r="X51" t="s">
        <v>293</v>
      </c>
    </row>
    <row r="52" spans="1:24" x14ac:dyDescent="0.25">
      <c r="A52" s="3">
        <v>43902</v>
      </c>
      <c r="B52" t="s">
        <v>65</v>
      </c>
      <c r="C52">
        <v>31133483</v>
      </c>
      <c r="D52">
        <v>5750</v>
      </c>
      <c r="E52">
        <v>305</v>
      </c>
      <c r="F52">
        <v>1321</v>
      </c>
      <c r="G52" s="2">
        <v>47.08</v>
      </c>
      <c r="H52">
        <v>53956</v>
      </c>
      <c r="I52" t="s">
        <v>14</v>
      </c>
      <c r="J52">
        <v>10200</v>
      </c>
      <c r="K52" s="2">
        <v>18.899999999999999</v>
      </c>
      <c r="L52" t="s">
        <v>18</v>
      </c>
      <c r="M52" t="s">
        <v>223</v>
      </c>
      <c r="N52" t="s">
        <v>14</v>
      </c>
      <c r="O52">
        <v>39642</v>
      </c>
      <c r="P52">
        <v>199</v>
      </c>
      <c r="Q52">
        <v>36384</v>
      </c>
      <c r="R52">
        <v>3059</v>
      </c>
      <c r="S52">
        <v>7</v>
      </c>
      <c r="T52">
        <v>1273</v>
      </c>
      <c r="U52">
        <v>6</v>
      </c>
      <c r="V52">
        <v>405817</v>
      </c>
      <c r="W52">
        <v>13035</v>
      </c>
      <c r="X52" t="s">
        <v>14</v>
      </c>
    </row>
    <row r="53" spans="1:24" x14ac:dyDescent="0.25">
      <c r="A53" s="3">
        <v>43903</v>
      </c>
      <c r="B53" t="s">
        <v>66</v>
      </c>
      <c r="C53">
        <v>6534479</v>
      </c>
      <c r="D53">
        <v>14405</v>
      </c>
      <c r="E53">
        <v>497</v>
      </c>
      <c r="F53">
        <v>1925</v>
      </c>
      <c r="G53" s="2">
        <v>43</v>
      </c>
      <c r="H53">
        <v>74620</v>
      </c>
      <c r="I53" t="s">
        <v>293</v>
      </c>
      <c r="J53">
        <v>6541</v>
      </c>
      <c r="K53" s="2">
        <v>8.77</v>
      </c>
      <c r="L53" t="s">
        <v>18</v>
      </c>
      <c r="M53" t="s">
        <v>224</v>
      </c>
      <c r="N53" t="s">
        <v>293</v>
      </c>
      <c r="O53">
        <v>38659</v>
      </c>
      <c r="P53">
        <v>1447</v>
      </c>
      <c r="Q53">
        <v>30099</v>
      </c>
      <c r="R53">
        <v>7113</v>
      </c>
      <c r="S53">
        <v>24</v>
      </c>
      <c r="T53">
        <v>5916</v>
      </c>
      <c r="U53">
        <v>221</v>
      </c>
      <c r="V53">
        <v>267718</v>
      </c>
      <c r="W53">
        <v>40970</v>
      </c>
      <c r="X53" t="s">
        <v>293</v>
      </c>
    </row>
    <row r="54" spans="1:24" x14ac:dyDescent="0.25">
      <c r="A54" s="3">
        <v>43904</v>
      </c>
      <c r="B54" t="s">
        <v>67</v>
      </c>
      <c r="C54">
        <v>39009447</v>
      </c>
      <c r="D54">
        <v>11106</v>
      </c>
      <c r="E54">
        <v>417</v>
      </c>
      <c r="F54">
        <v>2370</v>
      </c>
      <c r="G54" s="2">
        <v>37.67</v>
      </c>
      <c r="H54">
        <v>88402</v>
      </c>
      <c r="I54" t="s">
        <v>293</v>
      </c>
      <c r="J54">
        <v>4080</v>
      </c>
      <c r="K54" s="2">
        <v>4.62</v>
      </c>
      <c r="L54" t="s">
        <v>10</v>
      </c>
      <c r="M54" t="s">
        <v>225</v>
      </c>
      <c r="N54" t="s">
        <v>293</v>
      </c>
      <c r="O54">
        <v>36896</v>
      </c>
      <c r="P54">
        <v>1298</v>
      </c>
      <c r="Q54">
        <v>25840</v>
      </c>
      <c r="R54">
        <v>9758</v>
      </c>
      <c r="S54">
        <v>31</v>
      </c>
      <c r="T54">
        <v>946</v>
      </c>
      <c r="U54">
        <v>33</v>
      </c>
      <c r="V54">
        <v>90396</v>
      </c>
      <c r="W54">
        <v>2317</v>
      </c>
      <c r="X54" t="s">
        <v>293</v>
      </c>
    </row>
    <row r="55" spans="1:24" x14ac:dyDescent="0.25">
      <c r="A55" s="3">
        <v>43905</v>
      </c>
      <c r="B55" t="s">
        <v>68</v>
      </c>
      <c r="C55">
        <v>8660952</v>
      </c>
      <c r="D55">
        <v>11146</v>
      </c>
      <c r="E55">
        <v>641</v>
      </c>
      <c r="F55">
        <v>3410</v>
      </c>
      <c r="G55" s="2">
        <v>51.73</v>
      </c>
      <c r="H55">
        <v>12207</v>
      </c>
      <c r="I55" t="s">
        <v>12</v>
      </c>
      <c r="J55">
        <v>2828</v>
      </c>
      <c r="K55" s="2">
        <v>23.17</v>
      </c>
      <c r="L55" t="s">
        <v>18</v>
      </c>
      <c r="M55" t="s">
        <v>226</v>
      </c>
      <c r="N55" t="s">
        <v>12</v>
      </c>
      <c r="O55">
        <v>36108</v>
      </c>
      <c r="P55">
        <v>1985</v>
      </c>
      <c r="Q55">
        <v>31600</v>
      </c>
      <c r="R55">
        <v>2523</v>
      </c>
      <c r="S55">
        <v>23</v>
      </c>
      <c r="T55">
        <v>4169</v>
      </c>
      <c r="U55">
        <v>229</v>
      </c>
      <c r="V55">
        <v>822764</v>
      </c>
      <c r="W55">
        <v>94997</v>
      </c>
      <c r="X55" t="s">
        <v>12</v>
      </c>
    </row>
    <row r="56" spans="1:24" x14ac:dyDescent="0.25">
      <c r="A56" s="3">
        <v>43906</v>
      </c>
      <c r="B56" t="s">
        <v>69</v>
      </c>
      <c r="C56">
        <v>43926079</v>
      </c>
      <c r="D56">
        <v>14659</v>
      </c>
      <c r="E56">
        <v>680</v>
      </c>
      <c r="F56">
        <v>2053</v>
      </c>
      <c r="G56" s="2">
        <v>27.42</v>
      </c>
      <c r="H56">
        <v>3071</v>
      </c>
      <c r="I56" t="s">
        <v>14</v>
      </c>
      <c r="J56">
        <v>0</v>
      </c>
      <c r="K56" s="2">
        <v>0</v>
      </c>
      <c r="L56" t="s">
        <v>14</v>
      </c>
      <c r="M56" t="s">
        <v>227</v>
      </c>
      <c r="N56" t="s">
        <v>14</v>
      </c>
      <c r="O56">
        <v>33626</v>
      </c>
      <c r="P56">
        <v>1273</v>
      </c>
      <c r="Q56">
        <v>23238</v>
      </c>
      <c r="R56">
        <v>9115</v>
      </c>
      <c r="S56">
        <v>57</v>
      </c>
      <c r="T56">
        <v>766</v>
      </c>
      <c r="U56">
        <v>29</v>
      </c>
      <c r="V56">
        <v>0</v>
      </c>
      <c r="W56">
        <v>0</v>
      </c>
      <c r="X56" t="s">
        <v>14</v>
      </c>
    </row>
    <row r="57" spans="1:24" x14ac:dyDescent="0.25">
      <c r="A57" s="3">
        <v>43907</v>
      </c>
      <c r="B57" t="s">
        <v>70</v>
      </c>
      <c r="C57">
        <v>10148243</v>
      </c>
      <c r="D57">
        <v>15838</v>
      </c>
      <c r="E57">
        <v>804</v>
      </c>
      <c r="F57">
        <v>2752</v>
      </c>
      <c r="G57" s="2">
        <v>72.08</v>
      </c>
      <c r="H57">
        <v>251</v>
      </c>
      <c r="I57" t="s">
        <v>293</v>
      </c>
      <c r="J57">
        <v>14</v>
      </c>
      <c r="K57" s="2">
        <v>5.58</v>
      </c>
      <c r="L57" t="s">
        <v>14</v>
      </c>
      <c r="M57" t="s">
        <v>228</v>
      </c>
      <c r="N57" t="s">
        <v>293</v>
      </c>
      <c r="O57">
        <v>33247</v>
      </c>
      <c r="P57">
        <v>479</v>
      </c>
      <c r="Q57">
        <v>29275</v>
      </c>
      <c r="R57">
        <v>3493</v>
      </c>
      <c r="S57">
        <v>66</v>
      </c>
      <c r="T57">
        <v>3276</v>
      </c>
      <c r="U57">
        <v>47</v>
      </c>
      <c r="V57">
        <v>766179</v>
      </c>
      <c r="W57">
        <v>75499</v>
      </c>
      <c r="X57" t="s">
        <v>293</v>
      </c>
    </row>
    <row r="58" spans="1:24" x14ac:dyDescent="0.25">
      <c r="A58" s="3">
        <v>43908</v>
      </c>
      <c r="B58" t="s">
        <v>71</v>
      </c>
      <c r="C58">
        <v>36953359</v>
      </c>
      <c r="D58">
        <v>19586</v>
      </c>
      <c r="E58">
        <v>897</v>
      </c>
      <c r="F58">
        <v>2483</v>
      </c>
      <c r="G58" s="2">
        <v>94.54</v>
      </c>
      <c r="H58">
        <v>2021</v>
      </c>
      <c r="I58" t="s">
        <v>14</v>
      </c>
      <c r="J58">
        <v>13</v>
      </c>
      <c r="K58" s="2">
        <v>0.64</v>
      </c>
      <c r="L58" t="s">
        <v>12</v>
      </c>
      <c r="M58" t="s">
        <v>229</v>
      </c>
      <c r="N58" t="s">
        <v>14</v>
      </c>
      <c r="O58">
        <v>29644</v>
      </c>
      <c r="P58">
        <v>449</v>
      </c>
      <c r="Q58">
        <v>20553</v>
      </c>
      <c r="R58">
        <v>8642</v>
      </c>
      <c r="S58">
        <v>31</v>
      </c>
      <c r="T58">
        <v>802</v>
      </c>
      <c r="U58">
        <v>12</v>
      </c>
      <c r="V58">
        <v>1383816</v>
      </c>
      <c r="W58">
        <v>37448</v>
      </c>
      <c r="X58" t="s">
        <v>14</v>
      </c>
    </row>
    <row r="59" spans="1:24" x14ac:dyDescent="0.25">
      <c r="A59" s="3">
        <v>43909</v>
      </c>
      <c r="B59" t="s">
        <v>72</v>
      </c>
      <c r="C59">
        <v>33516027</v>
      </c>
      <c r="D59">
        <v>27918</v>
      </c>
      <c r="E59">
        <v>1106</v>
      </c>
      <c r="F59">
        <v>1637</v>
      </c>
      <c r="G59" s="2">
        <v>44.26</v>
      </c>
      <c r="H59">
        <v>1826</v>
      </c>
      <c r="I59" t="s">
        <v>293</v>
      </c>
      <c r="J59">
        <v>490</v>
      </c>
      <c r="K59" s="2">
        <v>26.83</v>
      </c>
      <c r="L59" t="s">
        <v>14</v>
      </c>
      <c r="M59" t="s">
        <v>230</v>
      </c>
      <c r="N59" t="s">
        <v>293</v>
      </c>
      <c r="O59">
        <v>28315</v>
      </c>
      <c r="P59">
        <v>175</v>
      </c>
      <c r="Q59">
        <v>19291</v>
      </c>
      <c r="R59">
        <v>8849</v>
      </c>
      <c r="S59">
        <v>228</v>
      </c>
      <c r="T59">
        <v>845</v>
      </c>
      <c r="U59">
        <v>5</v>
      </c>
      <c r="V59">
        <v>1377915</v>
      </c>
      <c r="W59">
        <v>41112</v>
      </c>
      <c r="X59" t="s">
        <v>293</v>
      </c>
    </row>
    <row r="60" spans="1:24" x14ac:dyDescent="0.25">
      <c r="A60" s="3">
        <v>43910</v>
      </c>
      <c r="B60" t="s">
        <v>73</v>
      </c>
      <c r="C60">
        <v>8733665</v>
      </c>
      <c r="D60">
        <v>29608</v>
      </c>
      <c r="E60">
        <v>1478</v>
      </c>
      <c r="F60">
        <v>2445</v>
      </c>
      <c r="G60" s="2">
        <v>43.9</v>
      </c>
      <c r="H60">
        <v>10207</v>
      </c>
      <c r="I60" t="s">
        <v>12</v>
      </c>
      <c r="J60">
        <v>4340</v>
      </c>
      <c r="K60" s="2">
        <v>42.52</v>
      </c>
      <c r="L60" t="s">
        <v>14</v>
      </c>
      <c r="M60" t="s">
        <v>231</v>
      </c>
      <c r="N60" t="s">
        <v>12</v>
      </c>
      <c r="O60">
        <v>27332</v>
      </c>
      <c r="P60">
        <v>621</v>
      </c>
      <c r="Q60">
        <v>14047</v>
      </c>
      <c r="R60">
        <v>12664</v>
      </c>
      <c r="S60">
        <v>120</v>
      </c>
      <c r="T60">
        <v>3129</v>
      </c>
      <c r="U60">
        <v>71</v>
      </c>
      <c r="V60">
        <v>723137</v>
      </c>
      <c r="W60">
        <v>82799</v>
      </c>
      <c r="X60" t="s">
        <v>12</v>
      </c>
    </row>
    <row r="61" spans="1:24" x14ac:dyDescent="0.25">
      <c r="A61" s="3">
        <v>43911</v>
      </c>
      <c r="B61" t="s">
        <v>74</v>
      </c>
      <c r="C61">
        <v>4032983</v>
      </c>
      <c r="D61">
        <v>32306</v>
      </c>
      <c r="E61">
        <v>1705</v>
      </c>
      <c r="F61">
        <v>4266</v>
      </c>
      <c r="G61" s="2">
        <v>66.67</v>
      </c>
      <c r="H61">
        <v>27</v>
      </c>
      <c r="I61" t="s">
        <v>12</v>
      </c>
      <c r="J61">
        <v>0</v>
      </c>
      <c r="K61" s="2">
        <v>0</v>
      </c>
      <c r="L61" t="s">
        <v>22</v>
      </c>
      <c r="M61" t="s">
        <v>232</v>
      </c>
      <c r="N61" t="s">
        <v>12</v>
      </c>
      <c r="O61">
        <v>26628</v>
      </c>
      <c r="P61">
        <v>828</v>
      </c>
      <c r="Q61">
        <v>18676</v>
      </c>
      <c r="R61">
        <v>7124</v>
      </c>
      <c r="S61">
        <v>362</v>
      </c>
      <c r="T61">
        <v>6603</v>
      </c>
      <c r="U61">
        <v>205</v>
      </c>
      <c r="V61">
        <v>128076</v>
      </c>
      <c r="W61">
        <v>31757</v>
      </c>
      <c r="X61" t="s">
        <v>12</v>
      </c>
    </row>
    <row r="62" spans="1:24" x14ac:dyDescent="0.25">
      <c r="A62" s="3">
        <v>43912</v>
      </c>
      <c r="B62" t="s">
        <v>75</v>
      </c>
      <c r="C62">
        <v>4943200</v>
      </c>
      <c r="D62">
        <v>33410</v>
      </c>
      <c r="E62">
        <v>1697</v>
      </c>
      <c r="F62">
        <v>6215</v>
      </c>
      <c r="G62" s="2">
        <v>93.54</v>
      </c>
      <c r="H62">
        <v>7340</v>
      </c>
      <c r="I62" t="s">
        <v>12</v>
      </c>
      <c r="J62">
        <v>58</v>
      </c>
      <c r="K62" s="2">
        <v>0.79</v>
      </c>
      <c r="L62" t="s">
        <v>12</v>
      </c>
      <c r="M62" t="s">
        <v>233</v>
      </c>
      <c r="N62" t="s">
        <v>12</v>
      </c>
      <c r="O62">
        <v>26372</v>
      </c>
      <c r="P62">
        <v>1768</v>
      </c>
      <c r="Q62">
        <v>23364</v>
      </c>
      <c r="R62">
        <v>1240</v>
      </c>
      <c r="S62">
        <v>5</v>
      </c>
      <c r="T62">
        <v>5335</v>
      </c>
      <c r="U62">
        <v>358</v>
      </c>
      <c r="V62">
        <v>652917</v>
      </c>
      <c r="W62">
        <v>132084</v>
      </c>
      <c r="X62" t="s">
        <v>12</v>
      </c>
    </row>
    <row r="63" spans="1:24" x14ac:dyDescent="0.25">
      <c r="A63" s="3">
        <v>43913</v>
      </c>
      <c r="B63" t="s">
        <v>76</v>
      </c>
      <c r="C63">
        <v>53881160</v>
      </c>
      <c r="D63">
        <v>42165</v>
      </c>
      <c r="E63">
        <v>1917</v>
      </c>
      <c r="F63">
        <v>466</v>
      </c>
      <c r="G63" s="2">
        <v>36.86</v>
      </c>
      <c r="H63">
        <v>214023</v>
      </c>
      <c r="I63" t="s">
        <v>14</v>
      </c>
      <c r="J63">
        <v>6329</v>
      </c>
      <c r="K63" s="2">
        <v>2.96</v>
      </c>
      <c r="L63" t="s">
        <v>12</v>
      </c>
      <c r="M63" t="s">
        <v>234</v>
      </c>
      <c r="N63" t="s">
        <v>14</v>
      </c>
      <c r="O63">
        <v>24411</v>
      </c>
      <c r="P63">
        <v>399</v>
      </c>
      <c r="Q63">
        <v>10444</v>
      </c>
      <c r="R63">
        <v>13568</v>
      </c>
      <c r="S63">
        <v>44</v>
      </c>
      <c r="T63">
        <v>453</v>
      </c>
      <c r="U63">
        <v>7</v>
      </c>
      <c r="V63">
        <v>335318</v>
      </c>
      <c r="W63">
        <v>6223</v>
      </c>
      <c r="X63" t="s">
        <v>14</v>
      </c>
    </row>
    <row r="64" spans="1:24" x14ac:dyDescent="0.25">
      <c r="A64" s="3">
        <v>43914</v>
      </c>
      <c r="B64" t="s">
        <v>77</v>
      </c>
      <c r="C64">
        <v>28427499</v>
      </c>
      <c r="D64">
        <v>41154</v>
      </c>
      <c r="E64">
        <v>2268</v>
      </c>
      <c r="F64">
        <v>9541</v>
      </c>
      <c r="G64" s="2">
        <v>65.13</v>
      </c>
      <c r="H64">
        <v>6433</v>
      </c>
      <c r="I64" t="s">
        <v>292</v>
      </c>
      <c r="J64">
        <v>756</v>
      </c>
      <c r="K64" s="2">
        <v>11.75</v>
      </c>
      <c r="L64" t="s">
        <v>14</v>
      </c>
      <c r="M64" t="s">
        <v>235</v>
      </c>
      <c r="N64" t="s">
        <v>292</v>
      </c>
      <c r="O64">
        <v>22299</v>
      </c>
      <c r="P64">
        <v>195</v>
      </c>
      <c r="Q64">
        <v>12146</v>
      </c>
      <c r="R64">
        <v>9958</v>
      </c>
      <c r="S64">
        <v>42</v>
      </c>
      <c r="T64">
        <v>784</v>
      </c>
      <c r="U64">
        <v>7</v>
      </c>
      <c r="V64">
        <v>1567431</v>
      </c>
      <c r="W64">
        <v>55138</v>
      </c>
      <c r="X64" t="s">
        <v>292</v>
      </c>
    </row>
    <row r="65" spans="1:24" x14ac:dyDescent="0.25">
      <c r="A65" s="3">
        <v>43915</v>
      </c>
      <c r="B65" t="s">
        <v>78</v>
      </c>
      <c r="C65">
        <v>29186486</v>
      </c>
      <c r="D65">
        <v>50817</v>
      </c>
      <c r="E65">
        <v>2777</v>
      </c>
      <c r="F65">
        <v>5448</v>
      </c>
      <c r="G65" s="2">
        <v>20.25</v>
      </c>
      <c r="H65">
        <v>112</v>
      </c>
      <c r="I65" t="s">
        <v>293</v>
      </c>
      <c r="J65">
        <v>214</v>
      </c>
      <c r="K65" s="2">
        <v>191.07</v>
      </c>
      <c r="L65" t="s">
        <v>14</v>
      </c>
      <c r="M65" t="s">
        <v>236</v>
      </c>
      <c r="N65" t="s">
        <v>293</v>
      </c>
      <c r="O65">
        <v>21750</v>
      </c>
      <c r="P65">
        <v>65</v>
      </c>
      <c r="Q65">
        <v>15389</v>
      </c>
      <c r="R65">
        <v>6296</v>
      </c>
      <c r="S65">
        <v>0</v>
      </c>
      <c r="T65">
        <v>745</v>
      </c>
      <c r="U65">
        <v>2</v>
      </c>
      <c r="V65">
        <v>731977</v>
      </c>
      <c r="W65">
        <v>25079</v>
      </c>
      <c r="X65" t="s">
        <v>293</v>
      </c>
    </row>
    <row r="66" spans="1:24" x14ac:dyDescent="0.25">
      <c r="A66" s="3">
        <v>43916</v>
      </c>
      <c r="B66" t="s">
        <v>79</v>
      </c>
      <c r="C66">
        <v>9011577</v>
      </c>
      <c r="D66">
        <v>62960</v>
      </c>
      <c r="E66">
        <v>3007</v>
      </c>
      <c r="F66">
        <v>8359</v>
      </c>
      <c r="G66" s="2">
        <v>81.09</v>
      </c>
      <c r="H66">
        <v>1039</v>
      </c>
      <c r="I66" t="s">
        <v>12</v>
      </c>
      <c r="J66">
        <v>98</v>
      </c>
      <c r="K66" s="2">
        <v>9.43</v>
      </c>
      <c r="L66" t="s">
        <v>12</v>
      </c>
      <c r="M66" t="s">
        <v>237</v>
      </c>
      <c r="N66" t="s">
        <v>12</v>
      </c>
      <c r="O66">
        <v>21696</v>
      </c>
      <c r="P66">
        <v>719</v>
      </c>
      <c r="Q66">
        <v>19596</v>
      </c>
      <c r="R66">
        <v>1381</v>
      </c>
      <c r="S66">
        <v>25</v>
      </c>
      <c r="T66">
        <v>2408</v>
      </c>
      <c r="U66">
        <v>80</v>
      </c>
      <c r="V66">
        <v>937275</v>
      </c>
      <c r="W66">
        <v>104008</v>
      </c>
      <c r="X66" t="s">
        <v>12</v>
      </c>
    </row>
    <row r="67" spans="1:24" x14ac:dyDescent="0.25">
      <c r="A67" s="3">
        <v>43917</v>
      </c>
      <c r="B67" t="s">
        <v>80</v>
      </c>
      <c r="C67">
        <v>5098730</v>
      </c>
      <c r="D67">
        <v>64400</v>
      </c>
      <c r="E67">
        <v>3518</v>
      </c>
      <c r="F67">
        <v>8704</v>
      </c>
      <c r="G67" s="2">
        <v>91.89</v>
      </c>
      <c r="H67">
        <v>203325</v>
      </c>
      <c r="I67" t="s">
        <v>291</v>
      </c>
      <c r="J67">
        <v>3787</v>
      </c>
      <c r="K67" s="2">
        <v>1.86</v>
      </c>
      <c r="L67" t="s">
        <v>12</v>
      </c>
      <c r="M67" t="s">
        <v>238</v>
      </c>
      <c r="N67" t="s">
        <v>291</v>
      </c>
      <c r="O67">
        <v>21070</v>
      </c>
      <c r="P67">
        <v>200</v>
      </c>
      <c r="Q67">
        <v>7038</v>
      </c>
      <c r="R67">
        <v>13832</v>
      </c>
      <c r="S67">
        <v>103</v>
      </c>
      <c r="T67">
        <v>4132</v>
      </c>
      <c r="U67">
        <v>39</v>
      </c>
      <c r="V67">
        <v>96110</v>
      </c>
      <c r="W67">
        <v>18850</v>
      </c>
      <c r="X67" t="s">
        <v>291</v>
      </c>
    </row>
    <row r="68" spans="1:24" x14ac:dyDescent="0.25">
      <c r="A68" s="3">
        <v>43918</v>
      </c>
      <c r="B68" t="s">
        <v>81</v>
      </c>
      <c r="C68">
        <v>115223736</v>
      </c>
      <c r="D68">
        <v>67657</v>
      </c>
      <c r="E68">
        <v>3679</v>
      </c>
      <c r="F68">
        <v>8292</v>
      </c>
      <c r="G68" s="2">
        <v>88.63</v>
      </c>
      <c r="H68">
        <v>28430</v>
      </c>
      <c r="I68" t="s">
        <v>14</v>
      </c>
      <c r="J68">
        <v>5194</v>
      </c>
      <c r="K68" s="2">
        <v>18.27</v>
      </c>
      <c r="L68" t="s">
        <v>14</v>
      </c>
      <c r="M68" t="s">
        <v>239</v>
      </c>
      <c r="N68" t="s">
        <v>14</v>
      </c>
      <c r="O68">
        <v>20900</v>
      </c>
      <c r="P68">
        <v>365</v>
      </c>
      <c r="Q68">
        <v>9027</v>
      </c>
      <c r="R68">
        <v>11508</v>
      </c>
      <c r="S68">
        <v>185</v>
      </c>
      <c r="T68">
        <v>181</v>
      </c>
      <c r="U68">
        <v>3</v>
      </c>
      <c r="V68">
        <v>468814</v>
      </c>
      <c r="W68">
        <v>4069</v>
      </c>
      <c r="X68" t="s">
        <v>14</v>
      </c>
    </row>
    <row r="69" spans="1:24" x14ac:dyDescent="0.25">
      <c r="A69" s="3">
        <v>43919</v>
      </c>
      <c r="B69" t="s">
        <v>82</v>
      </c>
      <c r="C69">
        <v>25528864</v>
      </c>
      <c r="D69">
        <v>59577</v>
      </c>
      <c r="E69">
        <v>3473</v>
      </c>
      <c r="F69">
        <v>9461</v>
      </c>
      <c r="G69" s="2">
        <v>32.51</v>
      </c>
      <c r="H69">
        <v>4012</v>
      </c>
      <c r="I69" t="s">
        <v>294</v>
      </c>
      <c r="J69">
        <v>215</v>
      </c>
      <c r="K69" s="2">
        <v>5.36</v>
      </c>
      <c r="L69" t="s">
        <v>12</v>
      </c>
      <c r="M69" t="s">
        <v>240</v>
      </c>
      <c r="N69" t="s">
        <v>294</v>
      </c>
      <c r="O69">
        <v>19890</v>
      </c>
      <c r="P69">
        <v>255</v>
      </c>
      <c r="Q69">
        <v>10941</v>
      </c>
      <c r="R69">
        <v>8694</v>
      </c>
      <c r="S69">
        <v>52</v>
      </c>
      <c r="T69">
        <v>779</v>
      </c>
      <c r="U69">
        <v>10</v>
      </c>
      <c r="V69">
        <v>4631419</v>
      </c>
      <c r="W69">
        <v>181419</v>
      </c>
      <c r="X69" t="s">
        <v>294</v>
      </c>
    </row>
    <row r="70" spans="1:24" x14ac:dyDescent="0.25">
      <c r="A70" s="3">
        <v>43920</v>
      </c>
      <c r="B70" t="s">
        <v>83</v>
      </c>
      <c r="C70">
        <v>6489514</v>
      </c>
      <c r="D70">
        <v>64639</v>
      </c>
      <c r="E70">
        <v>4164</v>
      </c>
      <c r="F70">
        <v>15446</v>
      </c>
      <c r="G70" s="2">
        <v>92.86</v>
      </c>
      <c r="H70">
        <v>13</v>
      </c>
      <c r="I70" t="s">
        <v>291</v>
      </c>
      <c r="J70">
        <v>1</v>
      </c>
      <c r="K70" s="2">
        <v>7.69</v>
      </c>
      <c r="L70" t="s">
        <v>12</v>
      </c>
      <c r="M70" t="s">
        <v>241</v>
      </c>
      <c r="N70" t="s">
        <v>291</v>
      </c>
      <c r="O70">
        <v>19126</v>
      </c>
      <c r="P70">
        <v>513</v>
      </c>
      <c r="Q70">
        <v>9236</v>
      </c>
      <c r="R70">
        <v>9377</v>
      </c>
      <c r="S70">
        <v>509</v>
      </c>
      <c r="T70">
        <v>2947</v>
      </c>
      <c r="U70">
        <v>79</v>
      </c>
      <c r="V70">
        <v>251271</v>
      </c>
      <c r="W70">
        <v>38720</v>
      </c>
      <c r="X70" t="s">
        <v>291</v>
      </c>
    </row>
    <row r="71" spans="1:24" x14ac:dyDescent="0.25">
      <c r="A71" s="3">
        <v>43921</v>
      </c>
      <c r="B71" t="s">
        <v>84</v>
      </c>
      <c r="C71">
        <v>10711019</v>
      </c>
      <c r="D71">
        <v>76416</v>
      </c>
      <c r="E71">
        <v>4844</v>
      </c>
      <c r="F71">
        <v>12367</v>
      </c>
      <c r="G71" s="2">
        <v>100</v>
      </c>
      <c r="H71">
        <v>23</v>
      </c>
      <c r="I71" t="s">
        <v>12</v>
      </c>
      <c r="J71">
        <v>0</v>
      </c>
      <c r="K71" s="2">
        <v>0</v>
      </c>
      <c r="L71" t="s">
        <v>18</v>
      </c>
      <c r="M71" t="s">
        <v>242</v>
      </c>
      <c r="N71" t="s">
        <v>12</v>
      </c>
      <c r="O71">
        <v>17731</v>
      </c>
      <c r="P71">
        <v>390</v>
      </c>
      <c r="Q71">
        <v>12320</v>
      </c>
      <c r="R71">
        <v>5021</v>
      </c>
      <c r="S71">
        <v>17</v>
      </c>
      <c r="T71">
        <v>1655</v>
      </c>
      <c r="U71">
        <v>36</v>
      </c>
      <c r="V71">
        <v>728670</v>
      </c>
      <c r="W71">
        <v>68030</v>
      </c>
      <c r="X71" t="s">
        <v>12</v>
      </c>
    </row>
    <row r="72" spans="1:24" x14ac:dyDescent="0.25">
      <c r="A72" s="3">
        <v>43922</v>
      </c>
      <c r="B72" t="s">
        <v>85</v>
      </c>
      <c r="C72">
        <v>26606188</v>
      </c>
      <c r="D72">
        <v>76214</v>
      </c>
      <c r="E72">
        <v>5551</v>
      </c>
      <c r="F72">
        <v>15360</v>
      </c>
      <c r="G72" s="2">
        <v>71.63</v>
      </c>
      <c r="H72">
        <v>39039</v>
      </c>
      <c r="I72" t="s">
        <v>14</v>
      </c>
      <c r="J72">
        <v>6270</v>
      </c>
      <c r="K72" s="2">
        <v>16.059999999999999</v>
      </c>
      <c r="L72" t="s">
        <v>18</v>
      </c>
      <c r="M72" t="s">
        <v>243</v>
      </c>
      <c r="N72" t="s">
        <v>14</v>
      </c>
      <c r="O72">
        <v>17718</v>
      </c>
      <c r="P72">
        <v>391</v>
      </c>
      <c r="Q72">
        <v>15320</v>
      </c>
      <c r="R72">
        <v>2007</v>
      </c>
      <c r="S72">
        <v>30</v>
      </c>
      <c r="T72">
        <v>666</v>
      </c>
      <c r="U72">
        <v>15</v>
      </c>
      <c r="V72">
        <v>149000</v>
      </c>
      <c r="W72">
        <v>5600</v>
      </c>
      <c r="X72" t="s">
        <v>14</v>
      </c>
    </row>
    <row r="73" spans="1:24" x14ac:dyDescent="0.25">
      <c r="A73" s="3">
        <v>43923</v>
      </c>
      <c r="B73" t="s">
        <v>86</v>
      </c>
      <c r="C73">
        <v>26437950</v>
      </c>
      <c r="D73">
        <v>81399</v>
      </c>
      <c r="E73">
        <v>6305</v>
      </c>
      <c r="F73">
        <v>16618</v>
      </c>
      <c r="G73" s="2">
        <v>88.69</v>
      </c>
      <c r="H73">
        <v>6590</v>
      </c>
      <c r="I73" t="s">
        <v>14</v>
      </c>
      <c r="J73">
        <v>465</v>
      </c>
      <c r="K73" s="2">
        <v>7.06</v>
      </c>
      <c r="L73" t="s">
        <v>14</v>
      </c>
      <c r="M73" t="s">
        <v>244</v>
      </c>
      <c r="N73" t="s">
        <v>14</v>
      </c>
      <c r="O73">
        <v>16447</v>
      </c>
      <c r="P73">
        <v>103</v>
      </c>
      <c r="Q73">
        <v>12484</v>
      </c>
      <c r="R73">
        <v>3860</v>
      </c>
      <c r="S73">
        <v>0</v>
      </c>
      <c r="T73">
        <v>622</v>
      </c>
      <c r="U73">
        <v>4</v>
      </c>
      <c r="V73">
        <v>104584</v>
      </c>
      <c r="W73">
        <v>3956</v>
      </c>
      <c r="X73" t="s">
        <v>14</v>
      </c>
    </row>
    <row r="74" spans="1:24" x14ac:dyDescent="0.25">
      <c r="A74" s="3">
        <v>43924</v>
      </c>
      <c r="B74" t="s">
        <v>87</v>
      </c>
      <c r="C74">
        <v>51273732</v>
      </c>
      <c r="D74">
        <v>83155</v>
      </c>
      <c r="E74">
        <v>5985</v>
      </c>
      <c r="F74">
        <v>15008</v>
      </c>
      <c r="G74" s="2">
        <v>41.1</v>
      </c>
      <c r="H74">
        <v>1949</v>
      </c>
      <c r="I74" t="s">
        <v>293</v>
      </c>
      <c r="J74">
        <v>5</v>
      </c>
      <c r="K74" s="2">
        <v>0.26</v>
      </c>
      <c r="L74" t="s">
        <v>14</v>
      </c>
      <c r="M74" t="s">
        <v>245</v>
      </c>
      <c r="N74" t="s">
        <v>293</v>
      </c>
      <c r="O74">
        <v>14519</v>
      </c>
      <c r="P74">
        <v>303</v>
      </c>
      <c r="Q74">
        <v>13543</v>
      </c>
      <c r="R74">
        <v>673</v>
      </c>
      <c r="S74">
        <v>18</v>
      </c>
      <c r="T74">
        <v>283</v>
      </c>
      <c r="U74">
        <v>6</v>
      </c>
      <c r="V74">
        <v>1613652</v>
      </c>
      <c r="W74">
        <v>31471</v>
      </c>
      <c r="X74" t="s">
        <v>293</v>
      </c>
    </row>
    <row r="75" spans="1:24" x14ac:dyDescent="0.25">
      <c r="A75" s="3">
        <v>43925</v>
      </c>
      <c r="B75" t="s">
        <v>88</v>
      </c>
      <c r="C75">
        <v>5794279</v>
      </c>
      <c r="D75">
        <v>80463</v>
      </c>
      <c r="E75">
        <v>5841</v>
      </c>
      <c r="F75">
        <v>20012</v>
      </c>
      <c r="G75" s="2">
        <v>46.53</v>
      </c>
      <c r="H75">
        <v>337</v>
      </c>
      <c r="I75" t="s">
        <v>12</v>
      </c>
      <c r="J75">
        <v>52</v>
      </c>
      <c r="K75" s="2">
        <v>15.43</v>
      </c>
      <c r="L75" t="s">
        <v>18</v>
      </c>
      <c r="M75" t="s">
        <v>246</v>
      </c>
      <c r="N75" t="s">
        <v>12</v>
      </c>
      <c r="O75">
        <v>14306</v>
      </c>
      <c r="P75">
        <v>617</v>
      </c>
      <c r="Q75">
        <v>12787</v>
      </c>
      <c r="R75">
        <v>902</v>
      </c>
      <c r="S75">
        <v>2</v>
      </c>
      <c r="T75">
        <v>2469</v>
      </c>
      <c r="U75">
        <v>106</v>
      </c>
      <c r="V75">
        <v>1654512</v>
      </c>
      <c r="W75">
        <v>285542</v>
      </c>
      <c r="X75" t="s">
        <v>12</v>
      </c>
    </row>
    <row r="76" spans="1:24" x14ac:dyDescent="0.25">
      <c r="A76" s="3">
        <v>43926</v>
      </c>
      <c r="B76" t="s">
        <v>89</v>
      </c>
      <c r="C76">
        <v>5112340</v>
      </c>
      <c r="D76">
        <v>71718</v>
      </c>
      <c r="E76">
        <v>5021</v>
      </c>
      <c r="F76">
        <v>13405</v>
      </c>
      <c r="G76" s="2">
        <v>59.47</v>
      </c>
      <c r="H76">
        <v>7053</v>
      </c>
      <c r="I76" t="s">
        <v>293</v>
      </c>
      <c r="J76">
        <v>287</v>
      </c>
      <c r="K76" s="2">
        <v>4.07</v>
      </c>
      <c r="L76" t="s">
        <v>18</v>
      </c>
      <c r="M76" t="s">
        <v>247</v>
      </c>
      <c r="N76" t="s">
        <v>293</v>
      </c>
      <c r="O76">
        <v>13398</v>
      </c>
      <c r="P76">
        <v>92</v>
      </c>
      <c r="Q76">
        <v>6907</v>
      </c>
      <c r="R76">
        <v>6399</v>
      </c>
      <c r="S76">
        <v>0</v>
      </c>
      <c r="T76">
        <v>2621</v>
      </c>
      <c r="U76">
        <v>18</v>
      </c>
      <c r="V76">
        <v>200280</v>
      </c>
      <c r="W76">
        <v>39176</v>
      </c>
      <c r="X76" t="s">
        <v>293</v>
      </c>
    </row>
    <row r="77" spans="1:24" x14ac:dyDescent="0.25">
      <c r="A77" s="3">
        <v>43927</v>
      </c>
      <c r="B77" t="s">
        <v>90</v>
      </c>
      <c r="C77">
        <v>3278650</v>
      </c>
      <c r="D77">
        <v>72672</v>
      </c>
      <c r="E77">
        <v>5832</v>
      </c>
      <c r="F77">
        <v>16335</v>
      </c>
      <c r="G77" s="2">
        <v>100</v>
      </c>
      <c r="H77">
        <v>12</v>
      </c>
      <c r="I77" t="s">
        <v>12</v>
      </c>
      <c r="J77">
        <v>0</v>
      </c>
      <c r="K77" s="2">
        <v>0</v>
      </c>
      <c r="L77" t="s">
        <v>12</v>
      </c>
      <c r="M77" t="s">
        <v>248</v>
      </c>
      <c r="N77" t="s">
        <v>12</v>
      </c>
      <c r="O77">
        <v>13396</v>
      </c>
      <c r="P77">
        <v>384</v>
      </c>
      <c r="Q77">
        <v>7042</v>
      </c>
      <c r="R77">
        <v>5970</v>
      </c>
      <c r="S77">
        <v>0</v>
      </c>
      <c r="T77">
        <v>4086</v>
      </c>
      <c r="U77">
        <v>117</v>
      </c>
      <c r="V77">
        <v>147021</v>
      </c>
      <c r="W77">
        <v>44842</v>
      </c>
      <c r="X77" t="s">
        <v>12</v>
      </c>
    </row>
    <row r="78" spans="1:24" x14ac:dyDescent="0.25">
      <c r="A78" s="3">
        <v>43928</v>
      </c>
      <c r="B78" t="s">
        <v>91</v>
      </c>
      <c r="C78">
        <v>6942854</v>
      </c>
      <c r="D78">
        <v>76873</v>
      </c>
      <c r="E78">
        <v>7902</v>
      </c>
      <c r="F78">
        <v>22853</v>
      </c>
      <c r="G78" s="2">
        <v>12.68</v>
      </c>
      <c r="H78">
        <v>34611</v>
      </c>
      <c r="I78" t="s">
        <v>12</v>
      </c>
      <c r="J78">
        <v>5130</v>
      </c>
      <c r="K78" s="2">
        <v>14.82</v>
      </c>
      <c r="L78" t="s">
        <v>18</v>
      </c>
      <c r="M78" t="s">
        <v>249</v>
      </c>
      <c r="N78" t="s">
        <v>12</v>
      </c>
      <c r="O78">
        <v>13014</v>
      </c>
      <c r="P78">
        <v>435</v>
      </c>
      <c r="Q78">
        <v>7374</v>
      </c>
      <c r="R78">
        <v>5205</v>
      </c>
      <c r="S78">
        <v>47</v>
      </c>
      <c r="T78">
        <v>1874</v>
      </c>
      <c r="U78">
        <v>63</v>
      </c>
      <c r="V78">
        <v>294087</v>
      </c>
      <c r="W78">
        <v>42358</v>
      </c>
      <c r="X78" t="s">
        <v>12</v>
      </c>
    </row>
    <row r="79" spans="1:24" x14ac:dyDescent="0.25">
      <c r="A79" s="3">
        <v>43929</v>
      </c>
      <c r="B79" t="s">
        <v>92</v>
      </c>
      <c r="C79">
        <v>27755708</v>
      </c>
      <c r="D79">
        <v>83775</v>
      </c>
      <c r="E79">
        <v>6735</v>
      </c>
      <c r="F79">
        <v>28352</v>
      </c>
      <c r="G79" s="2">
        <v>74.84</v>
      </c>
      <c r="H79">
        <v>4339</v>
      </c>
      <c r="I79" t="s">
        <v>14</v>
      </c>
      <c r="J79">
        <v>109</v>
      </c>
      <c r="K79" s="2">
        <v>2.5099999999999998</v>
      </c>
      <c r="L79" t="s">
        <v>12</v>
      </c>
      <c r="M79" t="s">
        <v>250</v>
      </c>
      <c r="N79" t="s">
        <v>14</v>
      </c>
      <c r="O79">
        <v>12526</v>
      </c>
      <c r="P79">
        <v>134</v>
      </c>
      <c r="Q79">
        <v>10148</v>
      </c>
      <c r="R79">
        <v>2244</v>
      </c>
      <c r="S79">
        <v>88</v>
      </c>
      <c r="T79">
        <v>451</v>
      </c>
      <c r="U79">
        <v>5</v>
      </c>
      <c r="V79">
        <v>46301</v>
      </c>
      <c r="W79">
        <v>1668</v>
      </c>
      <c r="X79" t="s">
        <v>14</v>
      </c>
    </row>
    <row r="80" spans="1:24" x14ac:dyDescent="0.25">
      <c r="A80" s="3">
        <v>43930</v>
      </c>
      <c r="B80" t="s">
        <v>93</v>
      </c>
      <c r="C80">
        <v>43943536</v>
      </c>
      <c r="D80">
        <v>86625</v>
      </c>
      <c r="E80">
        <v>7629</v>
      </c>
      <c r="F80">
        <v>24332</v>
      </c>
      <c r="G80" s="2">
        <v>98.33</v>
      </c>
      <c r="H80">
        <v>1839</v>
      </c>
      <c r="I80" t="s">
        <v>14</v>
      </c>
      <c r="J80">
        <v>15</v>
      </c>
      <c r="K80" s="2">
        <v>0.82</v>
      </c>
      <c r="L80" t="s">
        <v>12</v>
      </c>
      <c r="M80" t="s">
        <v>251</v>
      </c>
      <c r="N80" t="s">
        <v>14</v>
      </c>
      <c r="O80">
        <v>11780</v>
      </c>
      <c r="P80">
        <v>763</v>
      </c>
      <c r="Q80">
        <v>6194</v>
      </c>
      <c r="R80">
        <v>4823</v>
      </c>
      <c r="S80">
        <v>0</v>
      </c>
      <c r="T80">
        <v>268</v>
      </c>
      <c r="U80">
        <v>17</v>
      </c>
      <c r="V80">
        <v>401</v>
      </c>
      <c r="W80">
        <v>9</v>
      </c>
      <c r="X80" t="s">
        <v>14</v>
      </c>
    </row>
    <row r="81" spans="1:24" x14ac:dyDescent="0.25">
      <c r="A81" s="3">
        <v>43931</v>
      </c>
      <c r="B81" t="s">
        <v>94</v>
      </c>
      <c r="C81">
        <v>2083365</v>
      </c>
      <c r="D81">
        <v>87658</v>
      </c>
      <c r="E81">
        <v>7272</v>
      </c>
      <c r="F81">
        <v>21128</v>
      </c>
      <c r="G81" s="2">
        <v>64.260000000000005</v>
      </c>
      <c r="H81">
        <v>1155338</v>
      </c>
      <c r="I81" t="s">
        <v>12</v>
      </c>
      <c r="J81">
        <v>324735</v>
      </c>
      <c r="K81" s="2">
        <v>28.11</v>
      </c>
      <c r="L81" t="s">
        <v>28</v>
      </c>
      <c r="M81" t="s">
        <v>252</v>
      </c>
      <c r="N81" t="s">
        <v>12</v>
      </c>
      <c r="O81">
        <v>11399</v>
      </c>
      <c r="P81">
        <v>517</v>
      </c>
      <c r="Q81">
        <v>7480</v>
      </c>
      <c r="R81">
        <v>3402</v>
      </c>
      <c r="S81">
        <v>3</v>
      </c>
      <c r="T81">
        <v>5471</v>
      </c>
      <c r="U81">
        <v>248</v>
      </c>
      <c r="V81">
        <v>109946</v>
      </c>
      <c r="W81">
        <v>52773</v>
      </c>
      <c r="X81" t="s">
        <v>12</v>
      </c>
    </row>
    <row r="82" spans="1:24" x14ac:dyDescent="0.25">
      <c r="A82" s="3">
        <v>43932</v>
      </c>
      <c r="B82" t="s">
        <v>95</v>
      </c>
      <c r="C82">
        <v>16783877</v>
      </c>
      <c r="D82">
        <v>76965</v>
      </c>
      <c r="E82">
        <v>6069</v>
      </c>
      <c r="F82">
        <v>25514</v>
      </c>
      <c r="G82" s="2">
        <v>58</v>
      </c>
      <c r="H82">
        <v>88214</v>
      </c>
      <c r="I82" t="s">
        <v>14</v>
      </c>
      <c r="J82">
        <v>12089</v>
      </c>
      <c r="K82" s="2">
        <v>13.7</v>
      </c>
      <c r="L82" t="s">
        <v>28</v>
      </c>
      <c r="M82" t="s">
        <v>253</v>
      </c>
      <c r="N82" t="s">
        <v>14</v>
      </c>
      <c r="O82">
        <v>10715</v>
      </c>
      <c r="P82">
        <v>223</v>
      </c>
      <c r="Q82">
        <v>7101</v>
      </c>
      <c r="R82">
        <v>3391</v>
      </c>
      <c r="S82">
        <v>33</v>
      </c>
      <c r="T82">
        <v>638</v>
      </c>
      <c r="U82">
        <v>13</v>
      </c>
      <c r="V82">
        <v>114761</v>
      </c>
      <c r="W82">
        <v>6838</v>
      </c>
      <c r="X82" t="s">
        <v>14</v>
      </c>
    </row>
    <row r="83" spans="1:24" x14ac:dyDescent="0.25">
      <c r="A83" s="3">
        <v>43933</v>
      </c>
      <c r="B83" t="s">
        <v>96</v>
      </c>
      <c r="C83">
        <v>5425471</v>
      </c>
      <c r="D83">
        <v>96802</v>
      </c>
      <c r="E83">
        <v>5731</v>
      </c>
      <c r="F83">
        <v>18873</v>
      </c>
      <c r="G83" s="2">
        <v>86.9</v>
      </c>
      <c r="H83">
        <v>276202</v>
      </c>
      <c r="I83" t="s">
        <v>12</v>
      </c>
      <c r="J83">
        <v>17404</v>
      </c>
      <c r="K83" s="2">
        <v>6.3</v>
      </c>
      <c r="L83" t="s">
        <v>10</v>
      </c>
      <c r="M83" t="s">
        <v>253</v>
      </c>
      <c r="N83" t="s">
        <v>12</v>
      </c>
      <c r="O83">
        <v>9468</v>
      </c>
      <c r="P83">
        <v>256</v>
      </c>
      <c r="Q83">
        <v>8857</v>
      </c>
      <c r="R83">
        <v>355</v>
      </c>
      <c r="S83">
        <v>3</v>
      </c>
      <c r="T83">
        <v>1745</v>
      </c>
      <c r="U83">
        <v>47</v>
      </c>
      <c r="V83">
        <v>472841</v>
      </c>
      <c r="W83">
        <v>87152</v>
      </c>
      <c r="X83" t="s">
        <v>12</v>
      </c>
    </row>
    <row r="84" spans="1:24" x14ac:dyDescent="0.25">
      <c r="A84" s="3">
        <v>43934</v>
      </c>
      <c r="B84" t="s">
        <v>97</v>
      </c>
      <c r="C84">
        <v>89802183</v>
      </c>
      <c r="D84">
        <v>69594</v>
      </c>
      <c r="E84">
        <v>5747</v>
      </c>
      <c r="F84">
        <v>26531</v>
      </c>
      <c r="G84" s="2">
        <v>68.52</v>
      </c>
      <c r="H84">
        <v>94693</v>
      </c>
      <c r="I84" t="s">
        <v>14</v>
      </c>
      <c r="J84">
        <v>17892</v>
      </c>
      <c r="K84" s="2">
        <v>18.89</v>
      </c>
      <c r="L84" t="s">
        <v>10</v>
      </c>
      <c r="M84" t="s">
        <v>253</v>
      </c>
      <c r="N84" t="s">
        <v>14</v>
      </c>
      <c r="O84">
        <v>9309</v>
      </c>
      <c r="P84">
        <v>215</v>
      </c>
      <c r="Q84">
        <v>8048</v>
      </c>
      <c r="R84">
        <v>1046</v>
      </c>
      <c r="S84">
        <v>0</v>
      </c>
      <c r="T84">
        <v>104</v>
      </c>
      <c r="U84">
        <v>2</v>
      </c>
      <c r="V84">
        <v>0</v>
      </c>
      <c r="W84">
        <v>0</v>
      </c>
      <c r="X84" t="s">
        <v>14</v>
      </c>
    </row>
    <row r="85" spans="1:24" x14ac:dyDescent="0.25">
      <c r="A85" s="3">
        <v>43935</v>
      </c>
      <c r="B85" t="s">
        <v>98</v>
      </c>
      <c r="C85">
        <v>32406372</v>
      </c>
      <c r="D85">
        <v>69927</v>
      </c>
      <c r="E85">
        <v>6898</v>
      </c>
      <c r="F85">
        <v>24619</v>
      </c>
      <c r="G85" s="2">
        <v>90.24</v>
      </c>
      <c r="H85">
        <v>25766</v>
      </c>
      <c r="I85" t="s">
        <v>293</v>
      </c>
      <c r="J85">
        <v>126</v>
      </c>
      <c r="K85" s="2">
        <v>0.49</v>
      </c>
      <c r="L85" t="s">
        <v>12</v>
      </c>
      <c r="M85" t="s">
        <v>253</v>
      </c>
      <c r="N85" t="s">
        <v>293</v>
      </c>
      <c r="O85">
        <v>9038</v>
      </c>
      <c r="P85">
        <v>125</v>
      </c>
      <c r="Q85">
        <v>8713</v>
      </c>
      <c r="R85">
        <v>200</v>
      </c>
      <c r="S85">
        <v>2</v>
      </c>
      <c r="T85">
        <v>279</v>
      </c>
      <c r="U85">
        <v>4</v>
      </c>
      <c r="V85">
        <v>991333</v>
      </c>
      <c r="W85">
        <v>30591</v>
      </c>
      <c r="X85" t="s">
        <v>293</v>
      </c>
    </row>
    <row r="86" spans="1:24" x14ac:dyDescent="0.25">
      <c r="A86" s="3">
        <v>43936</v>
      </c>
      <c r="B86" t="s">
        <v>99</v>
      </c>
      <c r="C86">
        <v>299385</v>
      </c>
      <c r="D86">
        <v>80829</v>
      </c>
      <c r="E86">
        <v>8312</v>
      </c>
      <c r="F86">
        <v>35911</v>
      </c>
      <c r="G86" s="2">
        <v>42.41</v>
      </c>
      <c r="H86">
        <v>52003</v>
      </c>
      <c r="I86" t="s">
        <v>292</v>
      </c>
      <c r="J86">
        <v>11982</v>
      </c>
      <c r="K86" s="2">
        <v>23.04</v>
      </c>
      <c r="L86" t="s">
        <v>12</v>
      </c>
      <c r="M86" t="s">
        <v>253</v>
      </c>
      <c r="N86" t="s">
        <v>292</v>
      </c>
      <c r="O86">
        <v>8127</v>
      </c>
      <c r="P86">
        <v>47</v>
      </c>
      <c r="Q86">
        <v>7240</v>
      </c>
      <c r="R86">
        <v>840</v>
      </c>
      <c r="S86">
        <v>23</v>
      </c>
      <c r="T86">
        <v>27146</v>
      </c>
      <c r="U86">
        <v>157</v>
      </c>
      <c r="V86">
        <v>41412</v>
      </c>
      <c r="W86">
        <v>138324</v>
      </c>
      <c r="X86" t="s">
        <v>292</v>
      </c>
    </row>
    <row r="87" spans="1:24" x14ac:dyDescent="0.25">
      <c r="A87" s="3">
        <v>43937</v>
      </c>
      <c r="B87" t="s">
        <v>100</v>
      </c>
      <c r="C87">
        <v>2230563</v>
      </c>
      <c r="D87">
        <v>96712</v>
      </c>
      <c r="E87">
        <v>7283</v>
      </c>
      <c r="F87">
        <v>30090</v>
      </c>
      <c r="G87" s="2">
        <v>80.64</v>
      </c>
      <c r="H87">
        <v>244624</v>
      </c>
      <c r="I87" t="s">
        <v>14</v>
      </c>
      <c r="J87">
        <v>1662</v>
      </c>
      <c r="K87" s="2">
        <v>0.68</v>
      </c>
      <c r="L87" t="s">
        <v>12</v>
      </c>
      <c r="M87" t="s">
        <v>253</v>
      </c>
      <c r="N87" t="s">
        <v>14</v>
      </c>
      <c r="O87">
        <v>7787</v>
      </c>
      <c r="P87">
        <v>51</v>
      </c>
      <c r="Q87">
        <v>5609</v>
      </c>
      <c r="R87">
        <v>2127</v>
      </c>
      <c r="S87">
        <v>11</v>
      </c>
      <c r="T87">
        <v>3491</v>
      </c>
      <c r="U87">
        <v>23</v>
      </c>
      <c r="V87">
        <v>85369</v>
      </c>
      <c r="W87">
        <v>38272</v>
      </c>
      <c r="X87" t="s">
        <v>14</v>
      </c>
    </row>
    <row r="88" spans="1:24" x14ac:dyDescent="0.25">
      <c r="A88" s="3">
        <v>43938</v>
      </c>
      <c r="B88" t="s">
        <v>101</v>
      </c>
      <c r="C88">
        <v>9557468</v>
      </c>
      <c r="D88">
        <v>87724</v>
      </c>
      <c r="E88">
        <v>8890</v>
      </c>
      <c r="F88">
        <v>25272</v>
      </c>
      <c r="G88" s="2">
        <v>83.7</v>
      </c>
      <c r="H88">
        <v>809</v>
      </c>
      <c r="I88" t="s">
        <v>293</v>
      </c>
      <c r="J88">
        <v>44</v>
      </c>
      <c r="K88" s="2">
        <v>5.44</v>
      </c>
      <c r="L88" t="s">
        <v>18</v>
      </c>
      <c r="M88" t="s">
        <v>253</v>
      </c>
      <c r="N88" t="s">
        <v>293</v>
      </c>
      <c r="O88">
        <v>7665</v>
      </c>
      <c r="P88">
        <v>62</v>
      </c>
      <c r="Q88">
        <v>6443</v>
      </c>
      <c r="R88">
        <v>1160</v>
      </c>
      <c r="S88">
        <v>0</v>
      </c>
      <c r="T88">
        <v>802</v>
      </c>
      <c r="U88">
        <v>6</v>
      </c>
      <c r="V88">
        <v>0</v>
      </c>
      <c r="W88">
        <v>0</v>
      </c>
      <c r="X88" t="s">
        <v>293</v>
      </c>
    </row>
    <row r="89" spans="1:24" x14ac:dyDescent="0.25">
      <c r="A89" s="3">
        <v>43939</v>
      </c>
      <c r="B89" t="s">
        <v>102</v>
      </c>
      <c r="C89">
        <v>13164905</v>
      </c>
      <c r="D89">
        <v>73958</v>
      </c>
      <c r="E89">
        <v>6471</v>
      </c>
      <c r="F89">
        <v>23502</v>
      </c>
      <c r="G89" s="2">
        <v>70.55</v>
      </c>
      <c r="H89">
        <v>25706</v>
      </c>
      <c r="I89" t="s">
        <v>14</v>
      </c>
      <c r="J89">
        <v>5436</v>
      </c>
      <c r="K89" s="2">
        <v>21.15</v>
      </c>
      <c r="L89" t="s">
        <v>22</v>
      </c>
      <c r="M89" t="s">
        <v>253</v>
      </c>
      <c r="N89" t="s">
        <v>14</v>
      </c>
      <c r="O89">
        <v>7664</v>
      </c>
      <c r="P89">
        <v>49</v>
      </c>
      <c r="Q89">
        <v>6757</v>
      </c>
      <c r="R89">
        <v>858</v>
      </c>
      <c r="S89">
        <v>24</v>
      </c>
      <c r="T89">
        <v>582</v>
      </c>
      <c r="U89">
        <v>4</v>
      </c>
      <c r="V89">
        <v>14407</v>
      </c>
      <c r="W89">
        <v>1094</v>
      </c>
      <c r="X89" t="s">
        <v>14</v>
      </c>
    </row>
    <row r="90" spans="1:24" x14ac:dyDescent="0.25">
      <c r="A90" s="3">
        <v>43940</v>
      </c>
      <c r="B90" t="s">
        <v>103</v>
      </c>
      <c r="C90">
        <v>11416103</v>
      </c>
      <c r="D90">
        <v>80523</v>
      </c>
      <c r="E90">
        <v>4570</v>
      </c>
      <c r="F90">
        <v>30768</v>
      </c>
      <c r="G90" s="2">
        <v>88.52</v>
      </c>
      <c r="H90">
        <v>1223</v>
      </c>
      <c r="I90" t="s">
        <v>291</v>
      </c>
      <c r="J90">
        <v>0</v>
      </c>
      <c r="K90">
        <v>0</v>
      </c>
      <c r="L90" t="s">
        <v>10</v>
      </c>
      <c r="M90" t="s">
        <v>253</v>
      </c>
      <c r="N90" t="s">
        <v>291</v>
      </c>
      <c r="O90">
        <v>7544</v>
      </c>
      <c r="P90">
        <v>171</v>
      </c>
      <c r="Q90">
        <v>4832</v>
      </c>
      <c r="R90">
        <v>2541</v>
      </c>
      <c r="S90">
        <v>0</v>
      </c>
      <c r="T90">
        <v>661</v>
      </c>
      <c r="U90">
        <v>15</v>
      </c>
      <c r="V90">
        <v>18443</v>
      </c>
      <c r="W90">
        <v>1616</v>
      </c>
      <c r="X90" t="s">
        <v>291</v>
      </c>
    </row>
    <row r="91" spans="1:24" x14ac:dyDescent="0.25">
      <c r="A91" s="3">
        <v>43941</v>
      </c>
      <c r="B91" t="s">
        <v>104</v>
      </c>
      <c r="C91">
        <v>5541604</v>
      </c>
      <c r="D91">
        <v>73339</v>
      </c>
      <c r="E91">
        <v>5443</v>
      </c>
      <c r="F91">
        <v>21305</v>
      </c>
      <c r="G91" s="2">
        <v>64.27</v>
      </c>
      <c r="H91">
        <v>73468</v>
      </c>
      <c r="I91" t="s">
        <v>12</v>
      </c>
      <c r="J91">
        <v>11180</v>
      </c>
      <c r="K91">
        <v>15.22</v>
      </c>
      <c r="L91" t="s">
        <v>12</v>
      </c>
      <c r="M91" t="s">
        <v>253</v>
      </c>
      <c r="N91" t="s">
        <v>12</v>
      </c>
      <c r="O91">
        <v>7532</v>
      </c>
      <c r="P91">
        <v>331</v>
      </c>
      <c r="Q91">
        <v>6980</v>
      </c>
      <c r="R91">
        <v>221</v>
      </c>
      <c r="S91">
        <v>0</v>
      </c>
      <c r="T91">
        <v>1359</v>
      </c>
      <c r="U91">
        <v>60</v>
      </c>
      <c r="V91">
        <v>389500</v>
      </c>
      <c r="W91">
        <v>70287</v>
      </c>
      <c r="X91" t="s">
        <v>12</v>
      </c>
    </row>
    <row r="92" spans="1:24" x14ac:dyDescent="0.25">
      <c r="A92" s="3">
        <v>43942</v>
      </c>
      <c r="B92" t="s">
        <v>105</v>
      </c>
      <c r="C92">
        <v>18430129</v>
      </c>
      <c r="D92">
        <v>75250</v>
      </c>
      <c r="E92">
        <v>7157</v>
      </c>
      <c r="F92">
        <v>34181</v>
      </c>
      <c r="G92" s="2">
        <v>43.58</v>
      </c>
      <c r="H92">
        <v>13771</v>
      </c>
      <c r="I92" t="s">
        <v>14</v>
      </c>
      <c r="J92">
        <v>4204</v>
      </c>
      <c r="K92">
        <v>30.53</v>
      </c>
      <c r="L92" t="s">
        <v>14</v>
      </c>
      <c r="M92" t="s">
        <v>254</v>
      </c>
      <c r="N92" t="s">
        <v>14</v>
      </c>
      <c r="O92">
        <v>7164</v>
      </c>
      <c r="P92">
        <v>199</v>
      </c>
      <c r="Q92">
        <v>5786</v>
      </c>
      <c r="R92">
        <v>1179</v>
      </c>
      <c r="S92">
        <v>0</v>
      </c>
      <c r="T92">
        <v>389</v>
      </c>
      <c r="U92">
        <v>11</v>
      </c>
      <c r="V92">
        <v>90307</v>
      </c>
      <c r="W92">
        <v>4900</v>
      </c>
      <c r="X92" t="s">
        <v>14</v>
      </c>
    </row>
    <row r="93" spans="1:24" x14ac:dyDescent="0.25">
      <c r="A93" s="3">
        <v>43943</v>
      </c>
      <c r="B93" t="s">
        <v>106</v>
      </c>
      <c r="C93">
        <v>626952</v>
      </c>
      <c r="D93">
        <v>78994</v>
      </c>
      <c r="E93">
        <v>6755</v>
      </c>
      <c r="F93">
        <v>29164</v>
      </c>
      <c r="G93" s="2">
        <v>54.32</v>
      </c>
      <c r="H93">
        <v>5877</v>
      </c>
      <c r="I93" t="s">
        <v>12</v>
      </c>
      <c r="J93">
        <v>1536</v>
      </c>
      <c r="K93">
        <v>26.14</v>
      </c>
      <c r="L93" t="s">
        <v>12</v>
      </c>
      <c r="M93" t="s">
        <v>83</v>
      </c>
      <c r="N93" t="s">
        <v>12</v>
      </c>
      <c r="O93">
        <v>7073</v>
      </c>
      <c r="P93">
        <v>119</v>
      </c>
      <c r="Q93">
        <v>5750</v>
      </c>
      <c r="R93">
        <v>1204</v>
      </c>
      <c r="S93">
        <v>9</v>
      </c>
      <c r="T93">
        <v>11282</v>
      </c>
      <c r="U93">
        <v>190</v>
      </c>
      <c r="V93">
        <v>623994</v>
      </c>
      <c r="W93">
        <v>995282</v>
      </c>
      <c r="X93" t="s">
        <v>12</v>
      </c>
    </row>
    <row r="94" spans="1:24" x14ac:dyDescent="0.25">
      <c r="A94" s="3">
        <v>43944</v>
      </c>
      <c r="B94" t="s">
        <v>107</v>
      </c>
      <c r="C94">
        <v>4660728</v>
      </c>
      <c r="D94">
        <v>89013</v>
      </c>
      <c r="E94">
        <v>6850</v>
      </c>
      <c r="F94">
        <v>28482</v>
      </c>
      <c r="G94" s="2">
        <v>85.52</v>
      </c>
      <c r="H94">
        <v>59763</v>
      </c>
      <c r="I94" t="s">
        <v>14</v>
      </c>
      <c r="J94">
        <v>4616</v>
      </c>
      <c r="K94">
        <v>7.72</v>
      </c>
      <c r="L94" t="s">
        <v>10</v>
      </c>
      <c r="M94" t="s">
        <v>83</v>
      </c>
      <c r="N94" t="s">
        <v>14</v>
      </c>
      <c r="O94">
        <v>6444</v>
      </c>
      <c r="P94">
        <v>157</v>
      </c>
      <c r="Q94">
        <v>5291</v>
      </c>
      <c r="R94">
        <v>996</v>
      </c>
      <c r="S94">
        <v>3</v>
      </c>
      <c r="T94">
        <v>1383</v>
      </c>
      <c r="U94">
        <v>34</v>
      </c>
      <c r="V94">
        <v>57387</v>
      </c>
      <c r="W94">
        <v>12313</v>
      </c>
      <c r="X94" t="s">
        <v>14</v>
      </c>
    </row>
    <row r="95" spans="1:24" x14ac:dyDescent="0.25">
      <c r="A95" s="3">
        <v>43945</v>
      </c>
      <c r="B95" t="s">
        <v>108</v>
      </c>
      <c r="C95">
        <v>7141091</v>
      </c>
      <c r="D95">
        <v>96974</v>
      </c>
      <c r="E95">
        <v>6674</v>
      </c>
      <c r="F95">
        <v>49640</v>
      </c>
      <c r="G95" s="2">
        <v>63.69</v>
      </c>
      <c r="H95">
        <v>27143</v>
      </c>
      <c r="I95" t="s">
        <v>292</v>
      </c>
      <c r="J95">
        <v>6153</v>
      </c>
      <c r="K95">
        <v>22.67</v>
      </c>
      <c r="L95" t="s">
        <v>12</v>
      </c>
      <c r="M95" t="s">
        <v>83</v>
      </c>
      <c r="N95" t="s">
        <v>292</v>
      </c>
      <c r="O95">
        <v>6375</v>
      </c>
      <c r="P95">
        <v>66</v>
      </c>
      <c r="Q95">
        <v>4974</v>
      </c>
      <c r="R95">
        <v>1335</v>
      </c>
      <c r="S95">
        <v>23</v>
      </c>
      <c r="T95">
        <v>893</v>
      </c>
      <c r="U95">
        <v>9</v>
      </c>
      <c r="V95">
        <v>135277</v>
      </c>
      <c r="W95">
        <v>18943</v>
      </c>
      <c r="X95" t="s">
        <v>292</v>
      </c>
    </row>
    <row r="96" spans="1:24" x14ac:dyDescent="0.25">
      <c r="A96" s="3">
        <v>43946</v>
      </c>
      <c r="B96" t="s">
        <v>109</v>
      </c>
      <c r="C96">
        <v>2877470</v>
      </c>
      <c r="D96">
        <v>84932</v>
      </c>
      <c r="E96">
        <v>5578</v>
      </c>
      <c r="F96">
        <v>26910</v>
      </c>
      <c r="G96" s="2">
        <v>95</v>
      </c>
      <c r="H96">
        <v>19</v>
      </c>
      <c r="I96" t="s">
        <v>12</v>
      </c>
      <c r="J96">
        <v>1</v>
      </c>
      <c r="K96">
        <v>5.26</v>
      </c>
      <c r="L96" t="s">
        <v>22</v>
      </c>
      <c r="M96" t="s">
        <v>83</v>
      </c>
      <c r="N96" t="s">
        <v>12</v>
      </c>
      <c r="O96">
        <v>6016</v>
      </c>
      <c r="P96">
        <v>188</v>
      </c>
      <c r="Q96">
        <v>3155</v>
      </c>
      <c r="R96">
        <v>2673</v>
      </c>
      <c r="S96">
        <v>23</v>
      </c>
      <c r="T96">
        <v>2091</v>
      </c>
      <c r="U96">
        <v>65</v>
      </c>
      <c r="V96">
        <v>38997</v>
      </c>
      <c r="W96">
        <v>13553</v>
      </c>
      <c r="X96" t="s">
        <v>12</v>
      </c>
    </row>
    <row r="97" spans="1:24" x14ac:dyDescent="0.25">
      <c r="A97" s="3">
        <v>43947</v>
      </c>
      <c r="B97" t="s">
        <v>110</v>
      </c>
      <c r="C97">
        <v>6822220</v>
      </c>
      <c r="D97">
        <v>72948</v>
      </c>
      <c r="E97">
        <v>3883</v>
      </c>
      <c r="F97">
        <v>27730</v>
      </c>
      <c r="G97" s="2">
        <v>85.73</v>
      </c>
      <c r="H97">
        <v>1192</v>
      </c>
      <c r="I97" t="s">
        <v>293</v>
      </c>
      <c r="J97">
        <v>27</v>
      </c>
      <c r="K97">
        <v>2.27</v>
      </c>
      <c r="L97" t="s">
        <v>12</v>
      </c>
      <c r="M97" t="s">
        <v>83</v>
      </c>
      <c r="N97" t="s">
        <v>293</v>
      </c>
      <c r="O97">
        <v>5672</v>
      </c>
      <c r="P97">
        <v>70</v>
      </c>
      <c r="Q97">
        <v>1974</v>
      </c>
      <c r="R97">
        <v>3628</v>
      </c>
      <c r="S97">
        <v>46</v>
      </c>
      <c r="T97">
        <v>831</v>
      </c>
      <c r="U97">
        <v>10</v>
      </c>
      <c r="V97">
        <v>345268</v>
      </c>
      <c r="W97">
        <v>50609</v>
      </c>
      <c r="X97" t="s">
        <v>293</v>
      </c>
    </row>
    <row r="98" spans="1:24" x14ac:dyDescent="0.25">
      <c r="A98" s="3">
        <v>43948</v>
      </c>
      <c r="B98" t="s">
        <v>111</v>
      </c>
      <c r="C98">
        <v>4102577</v>
      </c>
      <c r="D98">
        <v>68704</v>
      </c>
      <c r="E98">
        <v>4649</v>
      </c>
      <c r="F98">
        <v>26413</v>
      </c>
      <c r="G98" s="2">
        <v>44.02</v>
      </c>
      <c r="H98">
        <v>2905</v>
      </c>
      <c r="I98" t="s">
        <v>12</v>
      </c>
      <c r="J98">
        <v>977</v>
      </c>
      <c r="K98">
        <v>33.630000000000003</v>
      </c>
      <c r="L98" t="s">
        <v>10</v>
      </c>
      <c r="M98" t="s">
        <v>83</v>
      </c>
      <c r="N98" t="s">
        <v>12</v>
      </c>
      <c r="O98">
        <v>5404</v>
      </c>
      <c r="P98">
        <v>155</v>
      </c>
      <c r="Q98">
        <v>4688</v>
      </c>
      <c r="R98">
        <v>561</v>
      </c>
      <c r="S98">
        <v>7</v>
      </c>
      <c r="T98">
        <v>1317</v>
      </c>
      <c r="U98">
        <v>38</v>
      </c>
      <c r="V98">
        <v>125317</v>
      </c>
      <c r="W98">
        <v>30546</v>
      </c>
      <c r="X98" t="s">
        <v>12</v>
      </c>
    </row>
    <row r="99" spans="1:24" x14ac:dyDescent="0.25">
      <c r="A99" s="3">
        <v>43949</v>
      </c>
      <c r="B99" t="s">
        <v>112</v>
      </c>
      <c r="C99">
        <v>989387</v>
      </c>
      <c r="D99">
        <v>75404</v>
      </c>
      <c r="E99">
        <v>6463</v>
      </c>
      <c r="F99">
        <v>32298</v>
      </c>
      <c r="G99" s="2">
        <v>25.35</v>
      </c>
      <c r="H99">
        <v>359</v>
      </c>
      <c r="I99" t="s">
        <v>14</v>
      </c>
      <c r="J99">
        <v>146</v>
      </c>
      <c r="K99">
        <v>40.67</v>
      </c>
      <c r="L99" t="s">
        <v>14</v>
      </c>
      <c r="M99" t="s">
        <v>83</v>
      </c>
      <c r="N99" t="s">
        <v>14</v>
      </c>
      <c r="O99">
        <v>5330</v>
      </c>
      <c r="P99">
        <v>59</v>
      </c>
      <c r="Q99">
        <v>5057</v>
      </c>
      <c r="R99">
        <v>214</v>
      </c>
      <c r="S99">
        <v>0</v>
      </c>
      <c r="T99">
        <v>5387</v>
      </c>
      <c r="U99">
        <v>60</v>
      </c>
      <c r="V99">
        <v>59909</v>
      </c>
      <c r="W99">
        <v>60552</v>
      </c>
      <c r="X99" t="s">
        <v>14</v>
      </c>
    </row>
    <row r="100" spans="1:24" x14ac:dyDescent="0.25">
      <c r="A100" s="3">
        <v>43950</v>
      </c>
      <c r="B100" t="s">
        <v>113</v>
      </c>
      <c r="C100">
        <v>10417673</v>
      </c>
      <c r="D100">
        <v>79558</v>
      </c>
      <c r="E100">
        <v>6768</v>
      </c>
      <c r="F100">
        <v>41072</v>
      </c>
      <c r="G100" s="2">
        <v>55.36</v>
      </c>
      <c r="H100">
        <v>1107</v>
      </c>
      <c r="I100" t="s">
        <v>12</v>
      </c>
      <c r="J100">
        <v>60</v>
      </c>
      <c r="K100">
        <v>5.42</v>
      </c>
      <c r="L100" t="s">
        <v>14</v>
      </c>
      <c r="M100" t="s">
        <v>83</v>
      </c>
      <c r="N100" t="s">
        <v>12</v>
      </c>
      <c r="O100">
        <v>5123</v>
      </c>
      <c r="P100">
        <v>210</v>
      </c>
      <c r="Q100">
        <v>1374</v>
      </c>
      <c r="R100">
        <v>3539</v>
      </c>
      <c r="S100">
        <v>14</v>
      </c>
      <c r="T100">
        <v>492</v>
      </c>
      <c r="U100">
        <v>20</v>
      </c>
      <c r="V100">
        <v>619393</v>
      </c>
      <c r="W100">
        <v>59456</v>
      </c>
      <c r="X100" t="s">
        <v>12</v>
      </c>
    </row>
    <row r="101" spans="1:24" x14ac:dyDescent="0.25">
      <c r="A101" s="3">
        <v>43951</v>
      </c>
      <c r="B101" t="s">
        <v>114</v>
      </c>
      <c r="C101">
        <v>6880353</v>
      </c>
      <c r="D101">
        <v>83681</v>
      </c>
      <c r="E101">
        <v>5962</v>
      </c>
      <c r="F101">
        <v>63864</v>
      </c>
      <c r="G101" s="2">
        <v>20.41</v>
      </c>
      <c r="H101">
        <v>1980</v>
      </c>
      <c r="I101" t="s">
        <v>14</v>
      </c>
      <c r="J101">
        <v>847</v>
      </c>
      <c r="K101">
        <v>42.78</v>
      </c>
      <c r="L101" t="s">
        <v>10</v>
      </c>
      <c r="M101" t="s">
        <v>83</v>
      </c>
      <c r="N101" t="s">
        <v>14</v>
      </c>
      <c r="O101">
        <v>4879</v>
      </c>
      <c r="P101">
        <v>107</v>
      </c>
      <c r="Q101">
        <v>652</v>
      </c>
      <c r="R101">
        <v>4120</v>
      </c>
      <c r="S101">
        <v>0</v>
      </c>
      <c r="T101">
        <v>709</v>
      </c>
      <c r="U101">
        <v>16</v>
      </c>
      <c r="V101">
        <v>59699</v>
      </c>
      <c r="W101">
        <v>8677</v>
      </c>
      <c r="X101" t="s">
        <v>14</v>
      </c>
    </row>
    <row r="102" spans="1:24" x14ac:dyDescent="0.25">
      <c r="A102" s="3">
        <v>43952</v>
      </c>
      <c r="B102" t="s">
        <v>115</v>
      </c>
      <c r="C102">
        <v>1407001</v>
      </c>
      <c r="D102">
        <v>87046</v>
      </c>
      <c r="E102">
        <v>5177</v>
      </c>
      <c r="F102">
        <v>36885</v>
      </c>
      <c r="G102" s="2">
        <v>94.19</v>
      </c>
      <c r="H102">
        <v>86</v>
      </c>
      <c r="I102" t="s">
        <v>14</v>
      </c>
      <c r="J102">
        <v>0</v>
      </c>
      <c r="K102">
        <v>0</v>
      </c>
      <c r="L102" t="s">
        <v>12</v>
      </c>
      <c r="M102" t="s">
        <v>83</v>
      </c>
      <c r="N102" t="s">
        <v>14</v>
      </c>
      <c r="O102">
        <v>4821</v>
      </c>
      <c r="P102">
        <v>83</v>
      </c>
      <c r="Q102">
        <v>2182</v>
      </c>
      <c r="R102">
        <v>2556</v>
      </c>
      <c r="S102">
        <v>0</v>
      </c>
      <c r="T102">
        <v>3426</v>
      </c>
      <c r="U102">
        <v>59</v>
      </c>
      <c r="V102">
        <v>44356</v>
      </c>
      <c r="W102">
        <v>31525</v>
      </c>
      <c r="X102" t="s">
        <v>14</v>
      </c>
    </row>
    <row r="103" spans="1:24" x14ac:dyDescent="0.25">
      <c r="A103" s="3">
        <v>43953</v>
      </c>
      <c r="B103" t="s">
        <v>116</v>
      </c>
      <c r="C103">
        <v>541448</v>
      </c>
      <c r="D103">
        <v>81853</v>
      </c>
      <c r="E103">
        <v>5325</v>
      </c>
      <c r="F103">
        <v>39861</v>
      </c>
      <c r="G103" s="2">
        <v>80.239999999999995</v>
      </c>
      <c r="H103">
        <v>1947</v>
      </c>
      <c r="I103" t="s">
        <v>293</v>
      </c>
      <c r="J103">
        <v>72</v>
      </c>
      <c r="K103">
        <v>3.7</v>
      </c>
      <c r="L103" t="s">
        <v>12</v>
      </c>
      <c r="M103" t="s">
        <v>83</v>
      </c>
      <c r="N103" t="s">
        <v>293</v>
      </c>
      <c r="O103">
        <v>4680</v>
      </c>
      <c r="P103">
        <v>19</v>
      </c>
      <c r="Q103">
        <v>2725</v>
      </c>
      <c r="R103">
        <v>1936</v>
      </c>
      <c r="S103">
        <v>12</v>
      </c>
      <c r="T103">
        <v>8643</v>
      </c>
      <c r="U103">
        <v>35</v>
      </c>
      <c r="V103">
        <v>85587</v>
      </c>
      <c r="W103">
        <v>158071</v>
      </c>
      <c r="X103" t="s">
        <v>293</v>
      </c>
    </row>
    <row r="104" spans="1:24" x14ac:dyDescent="0.25">
      <c r="A104" s="3">
        <v>43954</v>
      </c>
      <c r="B104" t="s">
        <v>117</v>
      </c>
      <c r="C104">
        <v>4837752</v>
      </c>
      <c r="D104">
        <v>77636</v>
      </c>
      <c r="E104">
        <v>3453</v>
      </c>
      <c r="F104">
        <v>31215</v>
      </c>
      <c r="G104" s="2">
        <v>76.33</v>
      </c>
      <c r="H104">
        <v>5639</v>
      </c>
      <c r="I104" t="s">
        <v>14</v>
      </c>
      <c r="J104">
        <v>682</v>
      </c>
      <c r="K104">
        <v>12.09</v>
      </c>
      <c r="L104" t="s">
        <v>12</v>
      </c>
      <c r="M104" t="s">
        <v>83</v>
      </c>
      <c r="N104" t="s">
        <v>14</v>
      </c>
      <c r="O104">
        <v>4620</v>
      </c>
      <c r="P104">
        <v>59</v>
      </c>
      <c r="Q104">
        <v>1641</v>
      </c>
      <c r="R104">
        <v>2920</v>
      </c>
      <c r="S104">
        <v>2</v>
      </c>
      <c r="T104">
        <v>955</v>
      </c>
      <c r="U104">
        <v>12</v>
      </c>
      <c r="V104">
        <v>29589</v>
      </c>
      <c r="W104">
        <v>6116</v>
      </c>
      <c r="X104" t="s">
        <v>14</v>
      </c>
    </row>
    <row r="105" spans="1:24" x14ac:dyDescent="0.25">
      <c r="A105" s="3">
        <v>43955</v>
      </c>
      <c r="B105" t="s">
        <v>118</v>
      </c>
      <c r="C105">
        <v>9657785</v>
      </c>
      <c r="D105">
        <v>76078</v>
      </c>
      <c r="E105">
        <v>4128</v>
      </c>
      <c r="F105">
        <v>32949</v>
      </c>
      <c r="G105" s="2">
        <v>64.599999999999994</v>
      </c>
      <c r="H105">
        <v>7153</v>
      </c>
      <c r="I105" t="s">
        <v>12</v>
      </c>
      <c r="J105">
        <v>2537</v>
      </c>
      <c r="K105">
        <v>35.47</v>
      </c>
      <c r="L105" t="s">
        <v>14</v>
      </c>
      <c r="M105" t="s">
        <v>83</v>
      </c>
      <c r="N105" t="s">
        <v>12</v>
      </c>
      <c r="O105">
        <v>4597</v>
      </c>
      <c r="P105">
        <v>600</v>
      </c>
      <c r="Q105">
        <v>3463</v>
      </c>
      <c r="R105">
        <v>534</v>
      </c>
      <c r="S105">
        <v>8</v>
      </c>
      <c r="T105">
        <v>476</v>
      </c>
      <c r="U105">
        <v>62</v>
      </c>
      <c r="V105">
        <v>352546</v>
      </c>
      <c r="W105">
        <v>36504</v>
      </c>
      <c r="X105" t="s">
        <v>12</v>
      </c>
    </row>
    <row r="106" spans="1:24" x14ac:dyDescent="0.25">
      <c r="A106" s="3">
        <v>43956</v>
      </c>
      <c r="B106" t="s">
        <v>119</v>
      </c>
      <c r="C106">
        <v>19174839</v>
      </c>
      <c r="D106">
        <v>79989</v>
      </c>
      <c r="E106">
        <v>5871</v>
      </c>
      <c r="F106">
        <v>35629</v>
      </c>
      <c r="G106" s="2">
        <v>44.9</v>
      </c>
      <c r="H106">
        <v>2992</v>
      </c>
      <c r="I106" t="s">
        <v>14</v>
      </c>
      <c r="J106">
        <v>672</v>
      </c>
      <c r="K106">
        <v>22.46</v>
      </c>
      <c r="L106" t="s">
        <v>14</v>
      </c>
      <c r="M106" t="s">
        <v>83</v>
      </c>
      <c r="N106" t="s">
        <v>14</v>
      </c>
      <c r="O106">
        <v>4491</v>
      </c>
      <c r="P106">
        <v>137</v>
      </c>
      <c r="Q106">
        <v>2137</v>
      </c>
      <c r="R106">
        <v>2217</v>
      </c>
      <c r="S106">
        <v>4</v>
      </c>
      <c r="T106">
        <v>234</v>
      </c>
      <c r="U106">
        <v>7</v>
      </c>
      <c r="V106">
        <v>33466</v>
      </c>
      <c r="W106">
        <v>1745</v>
      </c>
      <c r="X106" t="s">
        <v>14</v>
      </c>
    </row>
    <row r="107" spans="1:24" x14ac:dyDescent="0.25">
      <c r="A107" s="3">
        <v>43957</v>
      </c>
      <c r="B107" t="s">
        <v>120</v>
      </c>
      <c r="C107">
        <v>14883803</v>
      </c>
      <c r="D107">
        <v>90022</v>
      </c>
      <c r="E107">
        <v>6669</v>
      </c>
      <c r="F107">
        <v>44739</v>
      </c>
      <c r="G107" s="2">
        <v>96.6</v>
      </c>
      <c r="H107">
        <v>8800</v>
      </c>
      <c r="I107" t="s">
        <v>14</v>
      </c>
      <c r="J107">
        <v>104</v>
      </c>
      <c r="K107">
        <v>1.18</v>
      </c>
      <c r="L107" t="s">
        <v>22</v>
      </c>
      <c r="M107" t="s">
        <v>255</v>
      </c>
      <c r="N107" t="s">
        <v>14</v>
      </c>
      <c r="O107">
        <v>4339</v>
      </c>
      <c r="P107">
        <v>84</v>
      </c>
      <c r="Q107">
        <v>1264</v>
      </c>
      <c r="R107">
        <v>2991</v>
      </c>
      <c r="S107">
        <v>0</v>
      </c>
      <c r="T107">
        <v>292</v>
      </c>
      <c r="U107">
        <v>6</v>
      </c>
      <c r="V107">
        <v>140421</v>
      </c>
      <c r="W107">
        <v>9434</v>
      </c>
      <c r="X107" t="s">
        <v>14</v>
      </c>
    </row>
    <row r="108" spans="1:24" x14ac:dyDescent="0.25">
      <c r="A108" s="3">
        <v>43958</v>
      </c>
      <c r="B108" t="s">
        <v>121</v>
      </c>
      <c r="C108">
        <v>6632263</v>
      </c>
      <c r="D108">
        <v>90669</v>
      </c>
      <c r="E108">
        <v>5409</v>
      </c>
      <c r="F108">
        <v>38417</v>
      </c>
      <c r="G108" s="2">
        <v>75.599999999999994</v>
      </c>
      <c r="H108">
        <v>2999</v>
      </c>
      <c r="I108" t="s">
        <v>291</v>
      </c>
      <c r="J108">
        <v>370</v>
      </c>
      <c r="K108">
        <v>12.34</v>
      </c>
      <c r="L108" t="s">
        <v>28</v>
      </c>
      <c r="M108" t="s">
        <v>256</v>
      </c>
      <c r="N108" t="s">
        <v>291</v>
      </c>
      <c r="O108">
        <v>3902</v>
      </c>
      <c r="P108">
        <v>123</v>
      </c>
      <c r="Q108">
        <v>2913</v>
      </c>
      <c r="R108">
        <v>866</v>
      </c>
      <c r="S108">
        <v>0</v>
      </c>
      <c r="T108">
        <v>588</v>
      </c>
      <c r="U108">
        <v>19</v>
      </c>
      <c r="V108">
        <v>0</v>
      </c>
      <c r="W108">
        <v>0</v>
      </c>
      <c r="X108" t="s">
        <v>291</v>
      </c>
    </row>
    <row r="109" spans="1:24" x14ac:dyDescent="0.25">
      <c r="A109" s="3">
        <v>43959</v>
      </c>
      <c r="B109" t="s">
        <v>122</v>
      </c>
      <c r="C109">
        <v>7503041</v>
      </c>
      <c r="D109">
        <v>92997</v>
      </c>
      <c r="E109">
        <v>5568</v>
      </c>
      <c r="F109">
        <v>35538</v>
      </c>
      <c r="G109" s="2">
        <v>76.12</v>
      </c>
      <c r="H109">
        <v>2475</v>
      </c>
      <c r="I109" t="s">
        <v>293</v>
      </c>
      <c r="J109">
        <v>38</v>
      </c>
      <c r="K109">
        <v>1.54</v>
      </c>
      <c r="L109" t="s">
        <v>14</v>
      </c>
      <c r="M109" t="s">
        <v>257</v>
      </c>
      <c r="N109" t="s">
        <v>293</v>
      </c>
      <c r="O109">
        <v>3850</v>
      </c>
      <c r="P109">
        <v>46</v>
      </c>
      <c r="Q109">
        <v>2458</v>
      </c>
      <c r="R109">
        <v>1346</v>
      </c>
      <c r="S109">
        <v>39</v>
      </c>
      <c r="T109">
        <v>513</v>
      </c>
      <c r="U109">
        <v>6</v>
      </c>
      <c r="V109">
        <v>692430</v>
      </c>
      <c r="W109">
        <v>92287</v>
      </c>
      <c r="X109" t="s">
        <v>293</v>
      </c>
    </row>
    <row r="110" spans="1:24" x14ac:dyDescent="0.25">
      <c r="A110" s="3">
        <v>43960</v>
      </c>
      <c r="B110" t="s">
        <v>123</v>
      </c>
      <c r="C110">
        <v>5530506</v>
      </c>
      <c r="D110">
        <v>85846</v>
      </c>
      <c r="E110">
        <v>4265</v>
      </c>
      <c r="F110">
        <v>52518</v>
      </c>
      <c r="G110" s="2">
        <v>94.86</v>
      </c>
      <c r="H110">
        <v>677</v>
      </c>
      <c r="I110" t="s">
        <v>14</v>
      </c>
      <c r="J110">
        <v>24</v>
      </c>
      <c r="K110">
        <v>3.55</v>
      </c>
      <c r="L110" t="s">
        <v>12</v>
      </c>
      <c r="M110" t="s">
        <v>258</v>
      </c>
      <c r="N110" t="s">
        <v>14</v>
      </c>
      <c r="O110">
        <v>3546</v>
      </c>
      <c r="P110">
        <v>58</v>
      </c>
      <c r="Q110">
        <v>1589</v>
      </c>
      <c r="R110">
        <v>1899</v>
      </c>
      <c r="S110">
        <v>0</v>
      </c>
      <c r="T110">
        <v>641</v>
      </c>
      <c r="U110">
        <v>10</v>
      </c>
      <c r="V110">
        <v>0</v>
      </c>
      <c r="W110">
        <v>0</v>
      </c>
      <c r="X110" t="s">
        <v>14</v>
      </c>
    </row>
    <row r="111" spans="1:24" x14ac:dyDescent="0.25">
      <c r="A111" s="3">
        <v>43961</v>
      </c>
      <c r="B111" t="s">
        <v>124</v>
      </c>
      <c r="C111">
        <v>628074</v>
      </c>
      <c r="D111">
        <v>76255</v>
      </c>
      <c r="E111">
        <v>3566</v>
      </c>
      <c r="F111">
        <v>32741</v>
      </c>
      <c r="G111" s="2">
        <v>74.95</v>
      </c>
      <c r="H111">
        <v>5923</v>
      </c>
      <c r="I111" t="s">
        <v>12</v>
      </c>
      <c r="J111">
        <v>285</v>
      </c>
      <c r="K111">
        <v>4.8099999999999996</v>
      </c>
      <c r="L111" t="s">
        <v>14</v>
      </c>
      <c r="M111" t="s">
        <v>259</v>
      </c>
      <c r="N111" t="s">
        <v>12</v>
      </c>
      <c r="O111">
        <v>3480</v>
      </c>
      <c r="P111">
        <v>60</v>
      </c>
      <c r="Q111">
        <v>2178</v>
      </c>
      <c r="R111">
        <v>1242</v>
      </c>
      <c r="S111">
        <v>0</v>
      </c>
      <c r="T111">
        <v>5541</v>
      </c>
      <c r="U111">
        <v>96</v>
      </c>
      <c r="V111">
        <v>38427</v>
      </c>
      <c r="W111">
        <v>61182</v>
      </c>
      <c r="X111" t="s">
        <v>12</v>
      </c>
    </row>
    <row r="112" spans="1:24" x14ac:dyDescent="0.25">
      <c r="A112" s="3">
        <v>43962</v>
      </c>
      <c r="B112" t="s">
        <v>125</v>
      </c>
      <c r="C112">
        <v>69817894</v>
      </c>
      <c r="D112">
        <v>76298</v>
      </c>
      <c r="E112">
        <v>3473</v>
      </c>
      <c r="F112">
        <v>46096</v>
      </c>
      <c r="G112" s="2">
        <v>96.51</v>
      </c>
      <c r="H112">
        <v>343</v>
      </c>
      <c r="I112" t="s">
        <v>293</v>
      </c>
      <c r="J112">
        <v>1</v>
      </c>
      <c r="K112">
        <v>0.28999999999999998</v>
      </c>
      <c r="L112" t="s">
        <v>14</v>
      </c>
      <c r="M112" t="s">
        <v>260</v>
      </c>
      <c r="N112" t="s">
        <v>293</v>
      </c>
      <c r="O112">
        <v>3330</v>
      </c>
      <c r="P112">
        <v>58</v>
      </c>
      <c r="Q112">
        <v>3148</v>
      </c>
      <c r="R112">
        <v>124</v>
      </c>
      <c r="S112">
        <v>1</v>
      </c>
      <c r="T112">
        <v>48</v>
      </c>
      <c r="U112">
        <v>0.8</v>
      </c>
      <c r="V112">
        <v>749213</v>
      </c>
      <c r="W112">
        <v>10731</v>
      </c>
      <c r="X112" t="s">
        <v>293</v>
      </c>
    </row>
    <row r="113" spans="1:24" x14ac:dyDescent="0.25">
      <c r="A113" s="3">
        <v>43963</v>
      </c>
      <c r="B113" t="s">
        <v>126</v>
      </c>
      <c r="C113">
        <v>15933012</v>
      </c>
      <c r="D113">
        <v>83619</v>
      </c>
      <c r="E113">
        <v>5547</v>
      </c>
      <c r="F113">
        <v>35987</v>
      </c>
      <c r="G113" s="2">
        <v>76.819999999999993</v>
      </c>
      <c r="H113">
        <v>349396</v>
      </c>
      <c r="I113" t="s">
        <v>14</v>
      </c>
      <c r="J113">
        <v>46093</v>
      </c>
      <c r="K113">
        <v>13.19</v>
      </c>
      <c r="L113" t="s">
        <v>18</v>
      </c>
      <c r="M113" t="s">
        <v>261</v>
      </c>
      <c r="N113" t="s">
        <v>14</v>
      </c>
      <c r="O113">
        <v>3227</v>
      </c>
      <c r="P113">
        <v>93</v>
      </c>
      <c r="Q113">
        <v>1728</v>
      </c>
      <c r="R113">
        <v>1406</v>
      </c>
      <c r="S113">
        <v>2</v>
      </c>
      <c r="T113">
        <v>203</v>
      </c>
      <c r="U113">
        <v>6</v>
      </c>
      <c r="V113">
        <v>0</v>
      </c>
      <c r="W113">
        <v>0</v>
      </c>
      <c r="X113" t="s">
        <v>14</v>
      </c>
    </row>
    <row r="114" spans="1:24" x14ac:dyDescent="0.25">
      <c r="A114" s="3">
        <v>43964</v>
      </c>
      <c r="B114" t="s">
        <v>127</v>
      </c>
      <c r="C114">
        <v>273419</v>
      </c>
      <c r="D114">
        <v>84917</v>
      </c>
      <c r="E114">
        <v>5228</v>
      </c>
      <c r="F114">
        <v>54714</v>
      </c>
      <c r="G114" s="2">
        <v>69.77</v>
      </c>
      <c r="H114">
        <v>21115</v>
      </c>
      <c r="I114" t="s">
        <v>14</v>
      </c>
      <c r="J114">
        <v>2039</v>
      </c>
      <c r="K114">
        <v>9.66</v>
      </c>
      <c r="L114" t="s">
        <v>12</v>
      </c>
      <c r="M114" t="s">
        <v>262</v>
      </c>
      <c r="N114" t="s">
        <v>14</v>
      </c>
      <c r="O114">
        <v>3042</v>
      </c>
      <c r="P114">
        <v>39</v>
      </c>
      <c r="Q114">
        <v>2738</v>
      </c>
      <c r="R114">
        <v>265</v>
      </c>
      <c r="S114">
        <v>2</v>
      </c>
      <c r="T114">
        <v>11126</v>
      </c>
      <c r="U114">
        <v>143</v>
      </c>
      <c r="V114">
        <v>13000</v>
      </c>
      <c r="W114">
        <v>47546</v>
      </c>
      <c r="X114" t="s">
        <v>14</v>
      </c>
    </row>
    <row r="115" spans="1:24" x14ac:dyDescent="0.25">
      <c r="A115" s="3">
        <v>43965</v>
      </c>
      <c r="B115" t="s">
        <v>128</v>
      </c>
      <c r="C115">
        <v>1161348</v>
      </c>
      <c r="D115">
        <v>97106</v>
      </c>
      <c r="E115">
        <v>5268</v>
      </c>
      <c r="F115">
        <v>38807</v>
      </c>
      <c r="G115" s="2">
        <v>89.66</v>
      </c>
      <c r="H115">
        <v>109</v>
      </c>
      <c r="I115" t="s">
        <v>14</v>
      </c>
      <c r="J115">
        <v>7</v>
      </c>
      <c r="K115">
        <v>6.42</v>
      </c>
      <c r="L115" t="s">
        <v>12</v>
      </c>
      <c r="M115" t="s">
        <v>263</v>
      </c>
      <c r="N115" t="s">
        <v>14</v>
      </c>
      <c r="O115">
        <v>2968</v>
      </c>
      <c r="P115">
        <v>55</v>
      </c>
      <c r="Q115">
        <v>1476</v>
      </c>
      <c r="R115">
        <v>1437</v>
      </c>
      <c r="S115">
        <v>5</v>
      </c>
      <c r="T115">
        <v>2556</v>
      </c>
      <c r="U115">
        <v>47</v>
      </c>
      <c r="V115">
        <v>20784</v>
      </c>
      <c r="W115">
        <v>17896</v>
      </c>
      <c r="X115" t="s">
        <v>14</v>
      </c>
    </row>
    <row r="116" spans="1:24" x14ac:dyDescent="0.25">
      <c r="A116" s="3">
        <v>43966</v>
      </c>
      <c r="B116" t="s">
        <v>129</v>
      </c>
      <c r="C116">
        <v>21422362</v>
      </c>
      <c r="D116">
        <v>96349</v>
      </c>
      <c r="E116">
        <v>5215</v>
      </c>
      <c r="F116">
        <v>47168</v>
      </c>
      <c r="G116" s="2">
        <v>76.819999999999993</v>
      </c>
      <c r="H116">
        <v>287</v>
      </c>
      <c r="I116" t="s">
        <v>293</v>
      </c>
      <c r="J116">
        <v>2</v>
      </c>
      <c r="K116">
        <v>0.7</v>
      </c>
      <c r="L116" t="s">
        <v>22</v>
      </c>
      <c r="M116" t="s">
        <v>263</v>
      </c>
      <c r="N116" t="s">
        <v>293</v>
      </c>
      <c r="O116">
        <v>2839</v>
      </c>
      <c r="P116">
        <v>11</v>
      </c>
      <c r="Q116">
        <v>2541</v>
      </c>
      <c r="R116">
        <v>287</v>
      </c>
      <c r="S116">
        <v>1</v>
      </c>
      <c r="T116">
        <v>133</v>
      </c>
      <c r="U116">
        <v>0.5</v>
      </c>
      <c r="V116">
        <v>166737</v>
      </c>
      <c r="W116">
        <v>7783</v>
      </c>
      <c r="X116" t="s">
        <v>293</v>
      </c>
    </row>
    <row r="117" spans="1:24" x14ac:dyDescent="0.25">
      <c r="A117" s="3">
        <v>43967</v>
      </c>
      <c r="B117" t="s">
        <v>130</v>
      </c>
      <c r="C117">
        <v>11325899</v>
      </c>
      <c r="D117">
        <v>95412</v>
      </c>
      <c r="E117">
        <v>4171</v>
      </c>
      <c r="F117">
        <v>55666</v>
      </c>
      <c r="G117" s="2">
        <v>27.96</v>
      </c>
      <c r="H117">
        <v>2188</v>
      </c>
      <c r="I117" t="s">
        <v>291</v>
      </c>
      <c r="J117">
        <v>705</v>
      </c>
      <c r="K117">
        <v>32.22</v>
      </c>
      <c r="L117" t="s">
        <v>12</v>
      </c>
      <c r="M117" t="s">
        <v>263</v>
      </c>
      <c r="N117" t="s">
        <v>291</v>
      </c>
      <c r="O117">
        <v>2775</v>
      </c>
      <c r="P117">
        <v>88</v>
      </c>
      <c r="Q117">
        <v>2409</v>
      </c>
      <c r="R117">
        <v>278</v>
      </c>
      <c r="S117">
        <v>4</v>
      </c>
      <c r="T117">
        <v>245</v>
      </c>
      <c r="U117">
        <v>8</v>
      </c>
      <c r="V117">
        <v>285471</v>
      </c>
      <c r="W117">
        <v>25205</v>
      </c>
      <c r="X117" t="s">
        <v>291</v>
      </c>
    </row>
    <row r="118" spans="1:24" x14ac:dyDescent="0.25">
      <c r="A118" s="3">
        <v>43968</v>
      </c>
      <c r="B118" t="s">
        <v>131</v>
      </c>
      <c r="C118">
        <v>556581</v>
      </c>
      <c r="D118">
        <v>78509</v>
      </c>
      <c r="E118">
        <v>3329</v>
      </c>
      <c r="F118">
        <v>40153</v>
      </c>
      <c r="G118" s="2">
        <v>79.25</v>
      </c>
      <c r="H118">
        <v>17562</v>
      </c>
      <c r="I118" t="s">
        <v>14</v>
      </c>
      <c r="J118">
        <v>3325</v>
      </c>
      <c r="K118">
        <v>18.93</v>
      </c>
      <c r="L118" t="s">
        <v>10</v>
      </c>
      <c r="M118" t="s">
        <v>263</v>
      </c>
      <c r="N118" t="s">
        <v>14</v>
      </c>
      <c r="O118">
        <v>2734</v>
      </c>
      <c r="P118">
        <v>27</v>
      </c>
      <c r="Q118">
        <v>2010</v>
      </c>
      <c r="R118">
        <v>697</v>
      </c>
      <c r="S118">
        <v>0</v>
      </c>
      <c r="T118">
        <v>4912</v>
      </c>
      <c r="U118">
        <v>49</v>
      </c>
      <c r="V118">
        <v>61633</v>
      </c>
      <c r="W118">
        <v>110735</v>
      </c>
      <c r="X118" t="s">
        <v>14</v>
      </c>
    </row>
    <row r="119" spans="1:24" x14ac:dyDescent="0.25">
      <c r="A119" s="3">
        <v>43969</v>
      </c>
      <c r="B119" t="s">
        <v>132</v>
      </c>
      <c r="C119">
        <v>2545264</v>
      </c>
      <c r="D119">
        <v>88284</v>
      </c>
      <c r="E119">
        <v>3291</v>
      </c>
      <c r="F119">
        <v>52210</v>
      </c>
      <c r="G119" s="2">
        <v>0</v>
      </c>
      <c r="H119">
        <v>1507</v>
      </c>
      <c r="I119" t="s">
        <v>14</v>
      </c>
      <c r="J119">
        <v>194</v>
      </c>
      <c r="K119">
        <v>12.87</v>
      </c>
      <c r="L119" t="s">
        <v>14</v>
      </c>
      <c r="M119" t="s">
        <v>263</v>
      </c>
      <c r="N119" t="s">
        <v>14</v>
      </c>
      <c r="O119">
        <v>2652</v>
      </c>
      <c r="P119">
        <v>15</v>
      </c>
      <c r="Q119">
        <v>563</v>
      </c>
      <c r="R119">
        <v>2074</v>
      </c>
      <c r="S119">
        <v>24</v>
      </c>
      <c r="T119">
        <v>1042</v>
      </c>
      <c r="U119">
        <v>6</v>
      </c>
      <c r="V119">
        <v>29233</v>
      </c>
      <c r="W119">
        <v>11485</v>
      </c>
      <c r="X119" t="s">
        <v>14</v>
      </c>
    </row>
    <row r="120" spans="1:24" x14ac:dyDescent="0.25">
      <c r="A120" s="3">
        <v>43970</v>
      </c>
      <c r="B120" t="s">
        <v>133</v>
      </c>
      <c r="C120">
        <v>20302901</v>
      </c>
      <c r="D120">
        <v>96633</v>
      </c>
      <c r="E120">
        <v>4784</v>
      </c>
      <c r="F120">
        <v>51347</v>
      </c>
      <c r="G120" s="2">
        <v>5.48</v>
      </c>
      <c r="H120">
        <v>1344</v>
      </c>
      <c r="I120" t="s">
        <v>14</v>
      </c>
      <c r="J120">
        <v>499</v>
      </c>
      <c r="K120">
        <v>37.130000000000003</v>
      </c>
      <c r="L120" t="s">
        <v>14</v>
      </c>
      <c r="M120" t="s">
        <v>263</v>
      </c>
      <c r="N120" t="s">
        <v>14</v>
      </c>
      <c r="O120">
        <v>2552</v>
      </c>
      <c r="P120">
        <v>124</v>
      </c>
      <c r="Q120">
        <v>1954</v>
      </c>
      <c r="R120">
        <v>474</v>
      </c>
      <c r="S120">
        <v>0</v>
      </c>
      <c r="T120">
        <v>126</v>
      </c>
      <c r="U120">
        <v>6</v>
      </c>
      <c r="V120">
        <v>25152</v>
      </c>
      <c r="W120">
        <v>1239</v>
      </c>
      <c r="X120" t="s">
        <v>14</v>
      </c>
    </row>
    <row r="121" spans="1:24" x14ac:dyDescent="0.25">
      <c r="A121" s="3">
        <v>43971</v>
      </c>
      <c r="B121" t="s">
        <v>134</v>
      </c>
      <c r="C121">
        <v>5459915</v>
      </c>
      <c r="D121">
        <v>103028</v>
      </c>
      <c r="E121">
        <v>4885</v>
      </c>
      <c r="F121">
        <v>58185</v>
      </c>
      <c r="G121" s="2">
        <v>73.349999999999994</v>
      </c>
      <c r="H121">
        <v>17844</v>
      </c>
      <c r="I121" t="s">
        <v>12</v>
      </c>
      <c r="J121">
        <v>908</v>
      </c>
      <c r="K121">
        <v>5.09</v>
      </c>
      <c r="L121" t="s">
        <v>28</v>
      </c>
      <c r="M121" t="s">
        <v>263</v>
      </c>
      <c r="N121" t="s">
        <v>12</v>
      </c>
      <c r="O121">
        <v>2480</v>
      </c>
      <c r="P121">
        <v>29</v>
      </c>
      <c r="Q121">
        <v>1824</v>
      </c>
      <c r="R121">
        <v>627</v>
      </c>
      <c r="S121">
        <v>2</v>
      </c>
      <c r="T121">
        <v>454</v>
      </c>
      <c r="U121">
        <v>5</v>
      </c>
      <c r="V121">
        <v>272322</v>
      </c>
      <c r="W121">
        <v>49877</v>
      </c>
      <c r="X121" t="s">
        <v>12</v>
      </c>
    </row>
    <row r="122" spans="1:24" x14ac:dyDescent="0.25">
      <c r="A122" s="3">
        <v>43972</v>
      </c>
      <c r="B122" t="s">
        <v>135</v>
      </c>
      <c r="C122">
        <v>11206572</v>
      </c>
      <c r="D122">
        <v>106438</v>
      </c>
      <c r="E122">
        <v>4786</v>
      </c>
      <c r="F122">
        <v>50327</v>
      </c>
      <c r="G122" s="2">
        <v>0.35</v>
      </c>
      <c r="H122">
        <v>52132</v>
      </c>
      <c r="I122" t="s">
        <v>14</v>
      </c>
      <c r="J122">
        <v>1281</v>
      </c>
      <c r="K122">
        <v>2.46</v>
      </c>
      <c r="L122" t="s">
        <v>12</v>
      </c>
      <c r="M122" t="s">
        <v>263</v>
      </c>
      <c r="N122" t="s">
        <v>14</v>
      </c>
      <c r="O122">
        <v>2450</v>
      </c>
      <c r="P122">
        <v>47</v>
      </c>
      <c r="Q122">
        <v>1175</v>
      </c>
      <c r="R122">
        <v>1228</v>
      </c>
      <c r="S122">
        <v>0</v>
      </c>
      <c r="T122">
        <v>219</v>
      </c>
      <c r="U122">
        <v>4</v>
      </c>
      <c r="V122">
        <v>12044</v>
      </c>
      <c r="W122">
        <v>1075</v>
      </c>
      <c r="X122" t="s">
        <v>14</v>
      </c>
    </row>
    <row r="123" spans="1:24" x14ac:dyDescent="0.25">
      <c r="A123" s="3">
        <v>43973</v>
      </c>
      <c r="B123" t="s">
        <v>136</v>
      </c>
      <c r="C123">
        <v>2078968</v>
      </c>
      <c r="D123">
        <v>106900</v>
      </c>
      <c r="E123">
        <v>5284</v>
      </c>
      <c r="F123">
        <v>107773</v>
      </c>
      <c r="G123" s="2">
        <v>97.24</v>
      </c>
      <c r="H123">
        <v>1555</v>
      </c>
      <c r="I123" t="s">
        <v>12</v>
      </c>
      <c r="J123">
        <v>2</v>
      </c>
      <c r="K123">
        <v>0.13</v>
      </c>
      <c r="L123" t="s">
        <v>22</v>
      </c>
      <c r="M123" t="s">
        <v>263</v>
      </c>
      <c r="N123" t="s">
        <v>12</v>
      </c>
      <c r="O123">
        <v>2223</v>
      </c>
      <c r="P123">
        <v>125</v>
      </c>
      <c r="Q123">
        <v>1909</v>
      </c>
      <c r="R123">
        <v>189</v>
      </c>
      <c r="S123">
        <v>2</v>
      </c>
      <c r="T123">
        <v>1069</v>
      </c>
      <c r="U123">
        <v>60</v>
      </c>
      <c r="V123">
        <v>135702</v>
      </c>
      <c r="W123">
        <v>65274</v>
      </c>
      <c r="X123" t="s">
        <v>12</v>
      </c>
    </row>
    <row r="124" spans="1:24" x14ac:dyDescent="0.25">
      <c r="A124" s="3">
        <v>43974</v>
      </c>
      <c r="B124" t="s">
        <v>137</v>
      </c>
      <c r="C124">
        <v>2718121</v>
      </c>
      <c r="D124">
        <v>105289</v>
      </c>
      <c r="E124">
        <v>3989</v>
      </c>
      <c r="F124">
        <v>54261</v>
      </c>
      <c r="G124" s="2">
        <v>72.459999999999994</v>
      </c>
      <c r="H124">
        <v>3147</v>
      </c>
      <c r="I124" t="s">
        <v>12</v>
      </c>
      <c r="J124">
        <v>292</v>
      </c>
      <c r="K124">
        <v>9.2799999999999994</v>
      </c>
      <c r="L124" t="s">
        <v>18</v>
      </c>
      <c r="M124" t="s">
        <v>263</v>
      </c>
      <c r="N124" t="s">
        <v>12</v>
      </c>
      <c r="O124">
        <v>2171</v>
      </c>
      <c r="P124">
        <v>81</v>
      </c>
      <c r="Q124">
        <v>1656</v>
      </c>
      <c r="R124">
        <v>434</v>
      </c>
      <c r="S124">
        <v>6</v>
      </c>
      <c r="T124">
        <v>799</v>
      </c>
      <c r="U124">
        <v>30</v>
      </c>
      <c r="V124">
        <v>540784</v>
      </c>
      <c r="W124">
        <v>198955</v>
      </c>
      <c r="X124" t="s">
        <v>12</v>
      </c>
    </row>
    <row r="125" spans="1:24" x14ac:dyDescent="0.25">
      <c r="A125" s="3">
        <v>43975</v>
      </c>
      <c r="B125" t="s">
        <v>138</v>
      </c>
      <c r="C125">
        <v>1326627</v>
      </c>
      <c r="D125">
        <v>95326</v>
      </c>
      <c r="E125">
        <v>3140</v>
      </c>
      <c r="F125">
        <v>54753</v>
      </c>
      <c r="G125" s="2">
        <v>90.72</v>
      </c>
      <c r="H125">
        <v>1105</v>
      </c>
      <c r="I125" t="s">
        <v>12</v>
      </c>
      <c r="J125">
        <v>27</v>
      </c>
      <c r="K125">
        <v>2.44</v>
      </c>
      <c r="L125" t="s">
        <v>14</v>
      </c>
      <c r="M125" t="s">
        <v>263</v>
      </c>
      <c r="N125" t="s">
        <v>12</v>
      </c>
      <c r="O125">
        <v>2124</v>
      </c>
      <c r="P125">
        <v>63</v>
      </c>
      <c r="Q125">
        <v>1954</v>
      </c>
      <c r="R125">
        <v>107</v>
      </c>
      <c r="S125">
        <v>0</v>
      </c>
      <c r="T125">
        <v>1601</v>
      </c>
      <c r="U125">
        <v>47</v>
      </c>
      <c r="V125">
        <v>122880</v>
      </c>
      <c r="W125">
        <v>92626</v>
      </c>
      <c r="X125" t="s">
        <v>12</v>
      </c>
    </row>
    <row r="126" spans="1:24" x14ac:dyDescent="0.25">
      <c r="A126" s="3">
        <v>43976</v>
      </c>
      <c r="B126" t="s">
        <v>139</v>
      </c>
      <c r="C126">
        <v>31333962</v>
      </c>
      <c r="D126">
        <v>87335</v>
      </c>
      <c r="E126">
        <v>1178</v>
      </c>
      <c r="F126">
        <v>63050</v>
      </c>
      <c r="G126" s="2">
        <v>44.2</v>
      </c>
      <c r="H126">
        <v>37225</v>
      </c>
      <c r="I126" t="s">
        <v>14</v>
      </c>
      <c r="J126">
        <v>3955</v>
      </c>
      <c r="K126">
        <v>10.62</v>
      </c>
      <c r="L126" t="s">
        <v>14</v>
      </c>
      <c r="M126" t="s">
        <v>263</v>
      </c>
      <c r="N126" t="s">
        <v>14</v>
      </c>
      <c r="O126">
        <v>2120</v>
      </c>
      <c r="P126">
        <v>15</v>
      </c>
      <c r="Q126">
        <v>795</v>
      </c>
      <c r="R126">
        <v>1310</v>
      </c>
      <c r="S126">
        <v>0</v>
      </c>
      <c r="T126">
        <v>68</v>
      </c>
      <c r="U126">
        <v>0.5</v>
      </c>
      <c r="V126">
        <v>65151</v>
      </c>
      <c r="W126">
        <v>2079</v>
      </c>
      <c r="X126" t="s">
        <v>14</v>
      </c>
    </row>
    <row r="127" spans="1:24" x14ac:dyDescent="0.25">
      <c r="A127" s="3">
        <v>43977</v>
      </c>
      <c r="B127" t="s">
        <v>140</v>
      </c>
      <c r="C127">
        <v>12981546</v>
      </c>
      <c r="D127">
        <v>92742</v>
      </c>
      <c r="E127">
        <v>4203</v>
      </c>
      <c r="F127">
        <v>54513</v>
      </c>
      <c r="G127" s="2">
        <v>54.48</v>
      </c>
      <c r="H127">
        <v>9249</v>
      </c>
      <c r="I127" t="s">
        <v>14</v>
      </c>
      <c r="J127">
        <v>964</v>
      </c>
      <c r="K127">
        <v>10.42</v>
      </c>
      <c r="L127" t="s">
        <v>12</v>
      </c>
      <c r="M127" t="s">
        <v>263</v>
      </c>
      <c r="N127" t="s">
        <v>14</v>
      </c>
      <c r="O127">
        <v>2111</v>
      </c>
      <c r="P127">
        <v>5</v>
      </c>
      <c r="Q127">
        <v>1258</v>
      </c>
      <c r="R127">
        <v>848</v>
      </c>
      <c r="S127">
        <v>0</v>
      </c>
      <c r="T127">
        <v>163</v>
      </c>
      <c r="U127">
        <v>0.4</v>
      </c>
      <c r="V127">
        <v>286251</v>
      </c>
      <c r="W127">
        <v>22051</v>
      </c>
      <c r="X127" t="s">
        <v>14</v>
      </c>
    </row>
    <row r="128" spans="1:24" x14ac:dyDescent="0.25">
      <c r="A128" s="3">
        <v>43978</v>
      </c>
      <c r="B128" t="s">
        <v>141</v>
      </c>
      <c r="C128">
        <v>587154</v>
      </c>
      <c r="D128">
        <v>102600</v>
      </c>
      <c r="E128">
        <v>5213</v>
      </c>
      <c r="F128">
        <v>62495</v>
      </c>
      <c r="G128" s="2">
        <v>95.84</v>
      </c>
      <c r="H128">
        <v>9034</v>
      </c>
      <c r="I128" t="s">
        <v>292</v>
      </c>
      <c r="J128">
        <v>98</v>
      </c>
      <c r="K128">
        <v>1.08</v>
      </c>
      <c r="L128" t="s">
        <v>12</v>
      </c>
      <c r="M128" t="s">
        <v>263</v>
      </c>
      <c r="N128" t="s">
        <v>292</v>
      </c>
      <c r="O128">
        <v>2096</v>
      </c>
      <c r="P128">
        <v>29</v>
      </c>
      <c r="Q128">
        <v>1446</v>
      </c>
      <c r="R128">
        <v>621</v>
      </c>
      <c r="S128">
        <v>9</v>
      </c>
      <c r="T128">
        <v>3570</v>
      </c>
      <c r="U128">
        <v>49</v>
      </c>
      <c r="V128">
        <v>2785</v>
      </c>
      <c r="W128">
        <v>4743</v>
      </c>
      <c r="X128" t="s">
        <v>292</v>
      </c>
    </row>
    <row r="129" spans="1:24" x14ac:dyDescent="0.25">
      <c r="A129" s="3">
        <v>43979</v>
      </c>
      <c r="B129" t="s">
        <v>142</v>
      </c>
      <c r="C129">
        <v>1972277</v>
      </c>
      <c r="D129">
        <v>119314</v>
      </c>
      <c r="E129">
        <v>4701</v>
      </c>
      <c r="F129">
        <v>66133</v>
      </c>
      <c r="G129" s="2">
        <v>74.010000000000005</v>
      </c>
      <c r="H129">
        <v>68400</v>
      </c>
      <c r="I129" t="s">
        <v>14</v>
      </c>
      <c r="J129">
        <v>8658</v>
      </c>
      <c r="K129">
        <v>12.66</v>
      </c>
      <c r="L129" t="s">
        <v>10</v>
      </c>
      <c r="M129" t="s">
        <v>263</v>
      </c>
      <c r="N129" t="s">
        <v>14</v>
      </c>
      <c r="O129">
        <v>2032</v>
      </c>
      <c r="P129">
        <v>27</v>
      </c>
      <c r="Q129">
        <v>944</v>
      </c>
      <c r="R129">
        <v>1061</v>
      </c>
      <c r="S129">
        <v>5</v>
      </c>
      <c r="T129">
        <v>1030</v>
      </c>
      <c r="U129">
        <v>14</v>
      </c>
      <c r="V129">
        <v>1500</v>
      </c>
      <c r="W129">
        <v>761</v>
      </c>
      <c r="X129" t="s">
        <v>14</v>
      </c>
    </row>
    <row r="130" spans="1:24" x14ac:dyDescent="0.25">
      <c r="A130" s="3">
        <v>43980</v>
      </c>
      <c r="B130" t="s">
        <v>143</v>
      </c>
      <c r="C130">
        <v>12151976</v>
      </c>
      <c r="D130">
        <v>121167</v>
      </c>
      <c r="E130">
        <v>4742</v>
      </c>
      <c r="F130">
        <v>76381</v>
      </c>
      <c r="G130" s="2">
        <v>87.87</v>
      </c>
      <c r="H130">
        <v>266096</v>
      </c>
      <c r="I130" t="s">
        <v>14</v>
      </c>
      <c r="J130">
        <v>8193</v>
      </c>
      <c r="K130">
        <v>3.08</v>
      </c>
      <c r="L130" t="s">
        <v>10</v>
      </c>
      <c r="M130" t="s">
        <v>263</v>
      </c>
      <c r="N130" t="s">
        <v>14</v>
      </c>
      <c r="O130">
        <v>1936</v>
      </c>
      <c r="P130">
        <v>38</v>
      </c>
      <c r="Q130">
        <v>1600</v>
      </c>
      <c r="R130">
        <v>298</v>
      </c>
      <c r="S130">
        <v>1</v>
      </c>
      <c r="T130">
        <v>159</v>
      </c>
      <c r="U130">
        <v>3</v>
      </c>
      <c r="V130">
        <v>93677</v>
      </c>
      <c r="W130">
        <v>7709</v>
      </c>
      <c r="X130" t="s">
        <v>14</v>
      </c>
    </row>
    <row r="131" spans="1:24" x14ac:dyDescent="0.25">
      <c r="A131" s="3">
        <v>43981</v>
      </c>
      <c r="B131" t="s">
        <v>144</v>
      </c>
      <c r="C131">
        <v>341465</v>
      </c>
      <c r="D131">
        <v>137833</v>
      </c>
      <c r="E131">
        <v>4156</v>
      </c>
      <c r="F131">
        <v>69854</v>
      </c>
      <c r="G131" s="2">
        <v>57.1</v>
      </c>
      <c r="H131">
        <v>54426</v>
      </c>
      <c r="I131" t="s">
        <v>12</v>
      </c>
      <c r="J131">
        <v>7016</v>
      </c>
      <c r="K131">
        <v>12.89</v>
      </c>
      <c r="L131" t="s">
        <v>18</v>
      </c>
      <c r="M131" t="s">
        <v>263</v>
      </c>
      <c r="N131" t="s">
        <v>12</v>
      </c>
      <c r="O131">
        <v>1930</v>
      </c>
      <c r="P131">
        <v>10</v>
      </c>
      <c r="Q131">
        <v>1825</v>
      </c>
      <c r="R131">
        <v>95</v>
      </c>
      <c r="S131">
        <v>0</v>
      </c>
      <c r="T131">
        <v>5652</v>
      </c>
      <c r="U131">
        <v>29</v>
      </c>
      <c r="V131">
        <v>149693</v>
      </c>
      <c r="W131">
        <v>438385</v>
      </c>
      <c r="X131" t="s">
        <v>12</v>
      </c>
    </row>
    <row r="132" spans="1:24" x14ac:dyDescent="0.25">
      <c r="A132" s="3">
        <v>43982</v>
      </c>
      <c r="B132" t="s">
        <v>145</v>
      </c>
      <c r="C132">
        <v>7992169</v>
      </c>
      <c r="D132">
        <v>107552</v>
      </c>
      <c r="E132">
        <v>2888</v>
      </c>
      <c r="F132">
        <v>75608</v>
      </c>
      <c r="G132" s="2">
        <v>17.739999999999998</v>
      </c>
      <c r="H132">
        <v>19</v>
      </c>
      <c r="I132" t="s">
        <v>14</v>
      </c>
      <c r="J132">
        <v>43</v>
      </c>
      <c r="K132">
        <v>226.32</v>
      </c>
      <c r="L132" t="s">
        <v>22</v>
      </c>
      <c r="M132" t="s">
        <v>263</v>
      </c>
      <c r="N132" t="s">
        <v>14</v>
      </c>
      <c r="O132">
        <v>1877</v>
      </c>
      <c r="P132">
        <v>67</v>
      </c>
      <c r="Q132">
        <v>1427</v>
      </c>
      <c r="R132">
        <v>383</v>
      </c>
      <c r="S132">
        <v>0</v>
      </c>
      <c r="T132">
        <v>235</v>
      </c>
      <c r="U132">
        <v>8</v>
      </c>
      <c r="V132">
        <v>0</v>
      </c>
      <c r="W132">
        <v>0</v>
      </c>
      <c r="X132" t="s">
        <v>14</v>
      </c>
    </row>
    <row r="133" spans="1:24" x14ac:dyDescent="0.25">
      <c r="A133" s="3">
        <v>43983</v>
      </c>
      <c r="B133" t="s">
        <v>146</v>
      </c>
      <c r="C133">
        <v>29886897</v>
      </c>
      <c r="D133">
        <v>95195</v>
      </c>
      <c r="E133">
        <v>3068</v>
      </c>
      <c r="F133">
        <v>54010</v>
      </c>
      <c r="G133" s="2">
        <v>63.87</v>
      </c>
      <c r="H133">
        <v>3748</v>
      </c>
      <c r="I133" t="s">
        <v>293</v>
      </c>
      <c r="J133">
        <v>800</v>
      </c>
      <c r="K133">
        <v>21.34</v>
      </c>
      <c r="L133" t="s">
        <v>18</v>
      </c>
      <c r="M133" t="s">
        <v>263</v>
      </c>
      <c r="N133" t="s">
        <v>293</v>
      </c>
      <c r="O133">
        <v>1768</v>
      </c>
      <c r="P133">
        <v>508</v>
      </c>
      <c r="Q133">
        <v>898</v>
      </c>
      <c r="R133">
        <v>362</v>
      </c>
      <c r="S133">
        <v>0</v>
      </c>
      <c r="T133">
        <v>59</v>
      </c>
      <c r="U133">
        <v>17</v>
      </c>
      <c r="V133">
        <v>120</v>
      </c>
      <c r="W133">
        <v>4</v>
      </c>
      <c r="X133" t="s">
        <v>293</v>
      </c>
    </row>
    <row r="134" spans="1:24" x14ac:dyDescent="0.25">
      <c r="A134" s="3">
        <v>43984</v>
      </c>
      <c r="B134" t="s">
        <v>147</v>
      </c>
      <c r="C134">
        <v>11830801</v>
      </c>
      <c r="D134">
        <v>121577</v>
      </c>
      <c r="E134">
        <v>4823</v>
      </c>
      <c r="F134">
        <v>103484</v>
      </c>
      <c r="G134" s="2">
        <v>69.930000000000007</v>
      </c>
      <c r="H134">
        <v>357681</v>
      </c>
      <c r="I134" t="s">
        <v>14</v>
      </c>
      <c r="J134">
        <v>32036</v>
      </c>
      <c r="K134">
        <v>8.9600000000000009</v>
      </c>
      <c r="L134" t="s">
        <v>18</v>
      </c>
      <c r="M134" t="s">
        <v>263</v>
      </c>
      <c r="N134" t="s">
        <v>14</v>
      </c>
      <c r="O134">
        <v>1642</v>
      </c>
      <c r="P134">
        <v>51</v>
      </c>
      <c r="Q134">
        <v>1241</v>
      </c>
      <c r="R134">
        <v>350</v>
      </c>
      <c r="S134">
        <v>9</v>
      </c>
      <c r="T134">
        <v>139</v>
      </c>
      <c r="U134">
        <v>4</v>
      </c>
      <c r="V134">
        <v>100298</v>
      </c>
      <c r="W134">
        <v>8478</v>
      </c>
      <c r="X134" t="s">
        <v>14</v>
      </c>
    </row>
    <row r="135" spans="1:24" x14ac:dyDescent="0.25">
      <c r="A135" s="3">
        <v>43985</v>
      </c>
      <c r="B135" t="s">
        <v>148</v>
      </c>
      <c r="C135">
        <v>5002100</v>
      </c>
      <c r="D135">
        <v>119389</v>
      </c>
      <c r="E135">
        <v>5572</v>
      </c>
      <c r="F135">
        <v>78347</v>
      </c>
      <c r="G135" s="2">
        <v>32.24</v>
      </c>
      <c r="H135">
        <v>68898</v>
      </c>
      <c r="I135" t="s">
        <v>294</v>
      </c>
      <c r="J135">
        <v>13142</v>
      </c>
      <c r="K135">
        <v>19.07</v>
      </c>
      <c r="L135" t="s">
        <v>22</v>
      </c>
      <c r="M135" t="s">
        <v>263</v>
      </c>
      <c r="N135" t="s">
        <v>294</v>
      </c>
      <c r="O135">
        <v>1569</v>
      </c>
      <c r="P135">
        <v>22</v>
      </c>
      <c r="Q135">
        <v>1524</v>
      </c>
      <c r="R135">
        <v>23</v>
      </c>
      <c r="S135">
        <v>0</v>
      </c>
      <c r="T135">
        <v>314</v>
      </c>
      <c r="U135">
        <v>4</v>
      </c>
      <c r="V135">
        <v>486943</v>
      </c>
      <c r="W135">
        <v>97348</v>
      </c>
      <c r="X135" t="s">
        <v>294</v>
      </c>
    </row>
    <row r="136" spans="1:24" x14ac:dyDescent="0.25">
      <c r="A136" s="3">
        <v>43986</v>
      </c>
      <c r="B136" t="s">
        <v>149</v>
      </c>
      <c r="C136">
        <v>32956300</v>
      </c>
      <c r="D136">
        <v>126937</v>
      </c>
      <c r="E136">
        <v>5149</v>
      </c>
      <c r="F136">
        <v>69346</v>
      </c>
      <c r="G136" s="2">
        <v>75.7</v>
      </c>
      <c r="H136">
        <v>40383</v>
      </c>
      <c r="I136" t="s">
        <v>14</v>
      </c>
      <c r="J136">
        <v>3019</v>
      </c>
      <c r="K136">
        <v>7.48</v>
      </c>
      <c r="L136" t="s">
        <v>12</v>
      </c>
      <c r="M136" t="s">
        <v>263</v>
      </c>
      <c r="N136" t="s">
        <v>14</v>
      </c>
      <c r="O136">
        <v>1483</v>
      </c>
      <c r="P136">
        <v>64</v>
      </c>
      <c r="Q136">
        <v>520</v>
      </c>
      <c r="R136">
        <v>899</v>
      </c>
      <c r="S136">
        <v>20</v>
      </c>
      <c r="T136">
        <v>45</v>
      </c>
      <c r="U136">
        <v>2</v>
      </c>
      <c r="V136">
        <v>64747</v>
      </c>
      <c r="W136">
        <v>1965</v>
      </c>
      <c r="X136" t="s">
        <v>14</v>
      </c>
    </row>
    <row r="137" spans="1:24" x14ac:dyDescent="0.25">
      <c r="A137" s="3">
        <v>43987</v>
      </c>
      <c r="B137" t="s">
        <v>150</v>
      </c>
      <c r="C137">
        <v>3474956</v>
      </c>
      <c r="D137">
        <v>130863</v>
      </c>
      <c r="E137">
        <v>4776</v>
      </c>
      <c r="F137">
        <v>68261</v>
      </c>
      <c r="G137" s="2">
        <v>70.33</v>
      </c>
      <c r="H137">
        <v>48771</v>
      </c>
      <c r="I137" t="s">
        <v>292</v>
      </c>
      <c r="J137">
        <v>1528</v>
      </c>
      <c r="K137">
        <v>3.13</v>
      </c>
      <c r="L137" t="s">
        <v>12</v>
      </c>
      <c r="M137" t="s">
        <v>263</v>
      </c>
      <c r="N137" t="s">
        <v>292</v>
      </c>
      <c r="O137">
        <v>1318</v>
      </c>
      <c r="P137">
        <v>37</v>
      </c>
      <c r="Q137">
        <v>1079</v>
      </c>
      <c r="R137">
        <v>202</v>
      </c>
      <c r="S137">
        <v>2</v>
      </c>
      <c r="T137">
        <v>379</v>
      </c>
      <c r="U137">
        <v>11</v>
      </c>
      <c r="V137">
        <v>126956</v>
      </c>
      <c r="W137">
        <v>36535</v>
      </c>
      <c r="X137" t="s">
        <v>292</v>
      </c>
    </row>
    <row r="138" spans="1:24" x14ac:dyDescent="0.25">
      <c r="A138" s="3">
        <v>43988</v>
      </c>
      <c r="B138" t="s">
        <v>151</v>
      </c>
      <c r="C138">
        <v>1883936</v>
      </c>
      <c r="D138">
        <v>135942</v>
      </c>
      <c r="E138">
        <v>3881</v>
      </c>
      <c r="F138">
        <v>71177</v>
      </c>
      <c r="G138" s="2">
        <v>97.02</v>
      </c>
      <c r="H138">
        <v>107037</v>
      </c>
      <c r="I138" t="s">
        <v>12</v>
      </c>
      <c r="J138">
        <v>2560</v>
      </c>
      <c r="K138">
        <v>2.39</v>
      </c>
      <c r="L138" t="s">
        <v>10</v>
      </c>
      <c r="M138" t="s">
        <v>263</v>
      </c>
      <c r="N138" t="s">
        <v>12</v>
      </c>
      <c r="O138">
        <v>1275</v>
      </c>
      <c r="P138">
        <v>32</v>
      </c>
      <c r="Q138">
        <v>1070</v>
      </c>
      <c r="R138">
        <v>173</v>
      </c>
      <c r="S138">
        <v>0</v>
      </c>
      <c r="T138">
        <v>677</v>
      </c>
      <c r="U138">
        <v>17</v>
      </c>
      <c r="V138">
        <v>207909</v>
      </c>
      <c r="W138">
        <v>110359</v>
      </c>
      <c r="X138" t="s">
        <v>12</v>
      </c>
    </row>
    <row r="139" spans="1:24" x14ac:dyDescent="0.25">
      <c r="A139" s="3">
        <v>43989</v>
      </c>
      <c r="B139" t="s">
        <v>152</v>
      </c>
      <c r="C139">
        <v>10213138</v>
      </c>
      <c r="D139">
        <v>112259</v>
      </c>
      <c r="E139">
        <v>2742</v>
      </c>
      <c r="F139">
        <v>54504</v>
      </c>
      <c r="G139" s="2">
        <v>56.19</v>
      </c>
      <c r="H139">
        <v>38139</v>
      </c>
      <c r="I139" t="s">
        <v>293</v>
      </c>
      <c r="J139">
        <v>7763</v>
      </c>
      <c r="K139">
        <v>20.350000000000001</v>
      </c>
      <c r="L139" t="s">
        <v>12</v>
      </c>
      <c r="M139" t="s">
        <v>263</v>
      </c>
      <c r="N139" t="s">
        <v>293</v>
      </c>
      <c r="O139">
        <v>1232</v>
      </c>
      <c r="P139">
        <v>11</v>
      </c>
      <c r="Q139">
        <v>1171</v>
      </c>
      <c r="R139">
        <v>50</v>
      </c>
      <c r="S139">
        <v>3</v>
      </c>
      <c r="T139">
        <v>121</v>
      </c>
      <c r="U139">
        <v>1</v>
      </c>
      <c r="V139">
        <v>628745</v>
      </c>
      <c r="W139">
        <v>61562</v>
      </c>
      <c r="X139" t="s">
        <v>293</v>
      </c>
    </row>
    <row r="140" spans="1:24" x14ac:dyDescent="0.25">
      <c r="A140" s="3">
        <v>43990</v>
      </c>
      <c r="B140" t="s">
        <v>153</v>
      </c>
      <c r="C140">
        <v>5068618</v>
      </c>
      <c r="D140">
        <v>102225</v>
      </c>
      <c r="E140">
        <v>3697</v>
      </c>
      <c r="F140">
        <v>150922</v>
      </c>
      <c r="G140" s="2">
        <v>73.739999999999995</v>
      </c>
      <c r="H140">
        <v>776212</v>
      </c>
      <c r="I140" t="s">
        <v>14</v>
      </c>
      <c r="J140">
        <v>40468</v>
      </c>
      <c r="K140">
        <v>5.21</v>
      </c>
      <c r="L140" t="s">
        <v>12</v>
      </c>
      <c r="M140" t="s">
        <v>263</v>
      </c>
      <c r="N140" t="s">
        <v>14</v>
      </c>
      <c r="O140">
        <v>1224</v>
      </c>
      <c r="P140">
        <v>78</v>
      </c>
      <c r="Q140">
        <v>705</v>
      </c>
      <c r="R140">
        <v>441</v>
      </c>
      <c r="S140">
        <v>0</v>
      </c>
      <c r="T140">
        <v>241</v>
      </c>
      <c r="U140">
        <v>15</v>
      </c>
      <c r="V140">
        <v>0</v>
      </c>
      <c r="W140">
        <v>0</v>
      </c>
      <c r="X140" t="s">
        <v>14</v>
      </c>
    </row>
    <row r="141" spans="1:24" x14ac:dyDescent="0.25">
      <c r="A141" s="3">
        <v>43991</v>
      </c>
      <c r="B141" t="s">
        <v>154</v>
      </c>
      <c r="C141">
        <v>45867852</v>
      </c>
      <c r="D141">
        <v>124342</v>
      </c>
      <c r="E141">
        <v>4922</v>
      </c>
      <c r="F141">
        <v>81481</v>
      </c>
      <c r="G141" s="2">
        <v>51.89</v>
      </c>
      <c r="H141">
        <v>1629</v>
      </c>
      <c r="I141" t="s">
        <v>14</v>
      </c>
      <c r="J141">
        <v>250</v>
      </c>
      <c r="K141">
        <v>15.35</v>
      </c>
      <c r="L141" t="s">
        <v>14</v>
      </c>
      <c r="M141" t="s">
        <v>263</v>
      </c>
      <c r="N141" t="s">
        <v>14</v>
      </c>
      <c r="O141">
        <v>1223</v>
      </c>
      <c r="P141">
        <v>5</v>
      </c>
      <c r="Q141">
        <v>1102</v>
      </c>
      <c r="R141">
        <v>116</v>
      </c>
      <c r="S141">
        <v>0</v>
      </c>
      <c r="T141">
        <v>27</v>
      </c>
      <c r="U141">
        <v>0.1</v>
      </c>
      <c r="V141">
        <v>288367</v>
      </c>
      <c r="W141">
        <v>6287</v>
      </c>
      <c r="X141" t="s">
        <v>14</v>
      </c>
    </row>
    <row r="142" spans="1:24" x14ac:dyDescent="0.25">
      <c r="A142" s="3">
        <v>43992</v>
      </c>
      <c r="B142" t="s">
        <v>155</v>
      </c>
      <c r="C142">
        <v>1208238</v>
      </c>
      <c r="D142">
        <v>134025</v>
      </c>
      <c r="E142">
        <v>5205</v>
      </c>
      <c r="F142">
        <v>78033</v>
      </c>
      <c r="G142" s="2">
        <v>88.24</v>
      </c>
      <c r="H142">
        <v>17</v>
      </c>
      <c r="I142" t="s">
        <v>293</v>
      </c>
      <c r="J142">
        <v>0</v>
      </c>
      <c r="K142">
        <v>0</v>
      </c>
      <c r="L142" t="s">
        <v>18</v>
      </c>
      <c r="M142" t="s">
        <v>263</v>
      </c>
      <c r="N142" t="s">
        <v>293</v>
      </c>
      <c r="O142">
        <v>1208</v>
      </c>
      <c r="P142">
        <v>19</v>
      </c>
      <c r="Q142">
        <v>856</v>
      </c>
      <c r="R142">
        <v>333</v>
      </c>
      <c r="S142">
        <v>0</v>
      </c>
      <c r="T142">
        <v>1000</v>
      </c>
      <c r="U142">
        <v>16</v>
      </c>
      <c r="V142">
        <v>216597</v>
      </c>
      <c r="W142">
        <v>179267</v>
      </c>
      <c r="X142" t="s">
        <v>293</v>
      </c>
    </row>
    <row r="143" spans="1:24" x14ac:dyDescent="0.25">
      <c r="A143" s="3">
        <v>43993</v>
      </c>
      <c r="B143" t="s">
        <v>156</v>
      </c>
      <c r="C143">
        <v>3988368</v>
      </c>
      <c r="D143">
        <v>138114</v>
      </c>
      <c r="E143">
        <v>4774</v>
      </c>
      <c r="F143">
        <v>84967</v>
      </c>
      <c r="G143" s="2">
        <v>91.67</v>
      </c>
      <c r="H143">
        <v>23</v>
      </c>
      <c r="I143" t="s">
        <v>293</v>
      </c>
      <c r="J143">
        <v>1</v>
      </c>
      <c r="K143">
        <v>4.3499999999999996</v>
      </c>
      <c r="L143" t="s">
        <v>18</v>
      </c>
      <c r="M143" t="s">
        <v>263</v>
      </c>
      <c r="N143" t="s">
        <v>293</v>
      </c>
      <c r="O143">
        <v>1206</v>
      </c>
      <c r="P143">
        <v>17</v>
      </c>
      <c r="Q143">
        <v>987</v>
      </c>
      <c r="R143">
        <v>202</v>
      </c>
      <c r="S143">
        <v>0</v>
      </c>
      <c r="T143">
        <v>302</v>
      </c>
      <c r="U143">
        <v>4</v>
      </c>
      <c r="V143">
        <v>240473</v>
      </c>
      <c r="W143">
        <v>60294</v>
      </c>
      <c r="X143" t="s">
        <v>293</v>
      </c>
    </row>
    <row r="144" spans="1:24" x14ac:dyDescent="0.25">
      <c r="A144" s="3">
        <v>43994</v>
      </c>
      <c r="B144" t="s">
        <v>157</v>
      </c>
      <c r="C144">
        <v>20954852</v>
      </c>
      <c r="D144">
        <v>129094</v>
      </c>
      <c r="E144">
        <v>4297</v>
      </c>
      <c r="F144">
        <v>78812</v>
      </c>
      <c r="G144" s="2">
        <v>75</v>
      </c>
      <c r="H144">
        <v>50</v>
      </c>
      <c r="I144" t="s">
        <v>14</v>
      </c>
      <c r="J144">
        <v>2</v>
      </c>
      <c r="K144">
        <v>4</v>
      </c>
      <c r="L144" t="s">
        <v>18</v>
      </c>
      <c r="M144" t="s">
        <v>263</v>
      </c>
      <c r="N144" t="s">
        <v>14</v>
      </c>
      <c r="O144">
        <v>1158</v>
      </c>
      <c r="P144">
        <v>54</v>
      </c>
      <c r="Q144">
        <v>961</v>
      </c>
      <c r="R144">
        <v>143</v>
      </c>
      <c r="S144">
        <v>0</v>
      </c>
      <c r="T144">
        <v>55</v>
      </c>
      <c r="U144">
        <v>3</v>
      </c>
      <c r="V144">
        <v>0</v>
      </c>
      <c r="W144">
        <v>0</v>
      </c>
      <c r="X144" t="s">
        <v>14</v>
      </c>
    </row>
    <row r="145" spans="1:24" x14ac:dyDescent="0.25">
      <c r="A145" s="3">
        <v>43995</v>
      </c>
      <c r="B145" t="s">
        <v>158</v>
      </c>
      <c r="C145">
        <v>24281433</v>
      </c>
      <c r="D145">
        <v>136010</v>
      </c>
      <c r="E145">
        <v>4238</v>
      </c>
      <c r="F145">
        <v>85115</v>
      </c>
      <c r="G145" s="2">
        <v>93.99</v>
      </c>
      <c r="H145">
        <v>699</v>
      </c>
      <c r="I145" t="s">
        <v>14</v>
      </c>
      <c r="J145">
        <v>0</v>
      </c>
      <c r="K145">
        <v>0</v>
      </c>
      <c r="L145" t="s">
        <v>12</v>
      </c>
      <c r="M145" t="s">
        <v>263</v>
      </c>
      <c r="N145" t="s">
        <v>14</v>
      </c>
      <c r="O145">
        <v>1153</v>
      </c>
      <c r="P145">
        <v>69</v>
      </c>
      <c r="Q145">
        <v>1057</v>
      </c>
      <c r="R145">
        <v>27</v>
      </c>
      <c r="S145">
        <v>0</v>
      </c>
      <c r="T145">
        <v>47</v>
      </c>
      <c r="U145">
        <v>3</v>
      </c>
      <c r="V145">
        <v>9052</v>
      </c>
      <c r="W145">
        <v>373</v>
      </c>
      <c r="X145" t="s">
        <v>14</v>
      </c>
    </row>
    <row r="146" spans="1:24" x14ac:dyDescent="0.25">
      <c r="A146" s="3">
        <v>43996</v>
      </c>
      <c r="B146" t="s">
        <v>159</v>
      </c>
      <c r="C146">
        <v>8296582</v>
      </c>
      <c r="D146">
        <v>133421</v>
      </c>
      <c r="E146">
        <v>3374</v>
      </c>
      <c r="F146">
        <v>69958</v>
      </c>
      <c r="G146" s="2">
        <v>84.86</v>
      </c>
      <c r="H146">
        <v>746</v>
      </c>
      <c r="I146" t="s">
        <v>14</v>
      </c>
      <c r="J146">
        <v>119</v>
      </c>
      <c r="K146">
        <v>15.95</v>
      </c>
      <c r="L146" t="s">
        <v>14</v>
      </c>
      <c r="M146" t="s">
        <v>263</v>
      </c>
      <c r="N146" t="s">
        <v>14</v>
      </c>
      <c r="O146">
        <v>1012</v>
      </c>
      <c r="P146">
        <v>22</v>
      </c>
      <c r="Q146">
        <v>697</v>
      </c>
      <c r="R146">
        <v>293</v>
      </c>
      <c r="S146">
        <v>2</v>
      </c>
      <c r="T146">
        <v>122</v>
      </c>
      <c r="U146">
        <v>3</v>
      </c>
      <c r="V146">
        <v>45767</v>
      </c>
      <c r="W146">
        <v>5516</v>
      </c>
      <c r="X146" t="s">
        <v>14</v>
      </c>
    </row>
    <row r="147" spans="1:24" x14ac:dyDescent="0.25">
      <c r="A147" s="3">
        <v>43997</v>
      </c>
      <c r="B147" t="s">
        <v>160</v>
      </c>
      <c r="C147">
        <v>17539600</v>
      </c>
      <c r="D147">
        <v>119638</v>
      </c>
      <c r="E147">
        <v>3425</v>
      </c>
      <c r="F147">
        <v>79400</v>
      </c>
      <c r="G147" s="2">
        <v>82.9</v>
      </c>
      <c r="H147">
        <v>253349</v>
      </c>
      <c r="I147" t="s">
        <v>293</v>
      </c>
      <c r="J147">
        <v>15585</v>
      </c>
      <c r="K147">
        <v>6.15</v>
      </c>
      <c r="L147" t="s">
        <v>10</v>
      </c>
      <c r="M147" t="s">
        <v>263</v>
      </c>
      <c r="N147" t="s">
        <v>293</v>
      </c>
      <c r="O147">
        <v>999</v>
      </c>
      <c r="P147">
        <v>48</v>
      </c>
      <c r="Q147">
        <v>311</v>
      </c>
      <c r="R147">
        <v>640</v>
      </c>
      <c r="S147">
        <v>0</v>
      </c>
      <c r="T147">
        <v>57</v>
      </c>
      <c r="U147">
        <v>3</v>
      </c>
      <c r="V147">
        <v>0</v>
      </c>
      <c r="W147">
        <v>0</v>
      </c>
      <c r="X147" t="s">
        <v>293</v>
      </c>
    </row>
    <row r="148" spans="1:24" x14ac:dyDescent="0.25">
      <c r="A148" s="3">
        <v>43998</v>
      </c>
      <c r="B148" t="s">
        <v>161</v>
      </c>
      <c r="C148">
        <v>2962478</v>
      </c>
      <c r="D148">
        <v>141403</v>
      </c>
      <c r="E148">
        <v>6867</v>
      </c>
      <c r="F148">
        <v>97394</v>
      </c>
      <c r="G148" s="2">
        <v>66.34</v>
      </c>
      <c r="H148">
        <v>8948</v>
      </c>
      <c r="I148" t="s">
        <v>291</v>
      </c>
      <c r="J148">
        <v>816</v>
      </c>
      <c r="K148">
        <v>9.1199999999999992</v>
      </c>
      <c r="L148" t="s">
        <v>14</v>
      </c>
      <c r="M148" t="s">
        <v>263</v>
      </c>
      <c r="N148" t="s">
        <v>291</v>
      </c>
      <c r="O148">
        <v>958</v>
      </c>
      <c r="P148">
        <v>12</v>
      </c>
      <c r="Q148">
        <v>745</v>
      </c>
      <c r="R148">
        <v>201</v>
      </c>
      <c r="S148">
        <v>0</v>
      </c>
      <c r="T148">
        <v>323</v>
      </c>
      <c r="U148">
        <v>4</v>
      </c>
      <c r="V148">
        <v>41840</v>
      </c>
      <c r="W148">
        <v>14123</v>
      </c>
      <c r="X148" t="s">
        <v>291</v>
      </c>
    </row>
    <row r="149" spans="1:24" x14ac:dyDescent="0.25">
      <c r="A149" s="3">
        <v>43999</v>
      </c>
      <c r="B149" t="s">
        <v>162</v>
      </c>
      <c r="C149">
        <v>441663</v>
      </c>
      <c r="D149">
        <v>141853</v>
      </c>
      <c r="E149">
        <v>5255</v>
      </c>
      <c r="F149">
        <v>117401</v>
      </c>
      <c r="G149" s="2">
        <v>0</v>
      </c>
      <c r="H149">
        <v>21253</v>
      </c>
      <c r="I149" t="s">
        <v>12</v>
      </c>
      <c r="J149">
        <v>2888</v>
      </c>
      <c r="K149">
        <v>13.59</v>
      </c>
      <c r="L149" t="s">
        <v>12</v>
      </c>
      <c r="M149" t="s">
        <v>263</v>
      </c>
      <c r="N149" t="s">
        <v>12</v>
      </c>
      <c r="O149">
        <v>946</v>
      </c>
      <c r="P149">
        <v>9</v>
      </c>
      <c r="Q149">
        <v>670</v>
      </c>
      <c r="R149">
        <v>267</v>
      </c>
      <c r="S149">
        <v>0</v>
      </c>
      <c r="T149">
        <v>2142</v>
      </c>
      <c r="U149">
        <v>20</v>
      </c>
      <c r="V149">
        <v>136713</v>
      </c>
      <c r="W149">
        <v>309541</v>
      </c>
      <c r="X149" t="s">
        <v>12</v>
      </c>
    </row>
    <row r="150" spans="1:24" x14ac:dyDescent="0.25">
      <c r="A150" s="3">
        <v>44000</v>
      </c>
      <c r="B150" t="s">
        <v>163</v>
      </c>
      <c r="C150">
        <v>77278</v>
      </c>
      <c r="D150">
        <v>139928</v>
      </c>
      <c r="E150">
        <v>5029</v>
      </c>
      <c r="F150">
        <v>80625</v>
      </c>
      <c r="G150" s="2">
        <v>34.21</v>
      </c>
      <c r="H150">
        <v>108</v>
      </c>
      <c r="I150" t="s">
        <v>12</v>
      </c>
      <c r="J150">
        <v>6</v>
      </c>
      <c r="K150">
        <v>5.56</v>
      </c>
      <c r="L150" t="s">
        <v>14</v>
      </c>
      <c r="M150" t="s">
        <v>263</v>
      </c>
      <c r="N150" t="s">
        <v>12</v>
      </c>
      <c r="O150">
        <v>944</v>
      </c>
      <c r="P150">
        <v>52</v>
      </c>
      <c r="Q150">
        <v>828</v>
      </c>
      <c r="R150">
        <v>64</v>
      </c>
      <c r="S150">
        <v>1</v>
      </c>
      <c r="T150">
        <v>12216</v>
      </c>
      <c r="U150">
        <v>673</v>
      </c>
      <c r="V150">
        <v>3750</v>
      </c>
      <c r="W150">
        <v>48526</v>
      </c>
      <c r="X150" t="s">
        <v>12</v>
      </c>
    </row>
    <row r="151" spans="1:24" x14ac:dyDescent="0.25">
      <c r="A151" s="3">
        <v>44001</v>
      </c>
      <c r="B151" t="s">
        <v>164</v>
      </c>
      <c r="C151">
        <v>16467965</v>
      </c>
      <c r="D151">
        <v>180954</v>
      </c>
      <c r="E151">
        <v>6273</v>
      </c>
      <c r="F151">
        <v>94472</v>
      </c>
      <c r="G151" s="2">
        <v>73.86</v>
      </c>
      <c r="H151">
        <v>1711</v>
      </c>
      <c r="I151" t="s">
        <v>14</v>
      </c>
      <c r="J151">
        <v>72</v>
      </c>
      <c r="K151">
        <v>4.21</v>
      </c>
      <c r="L151" t="s">
        <v>14</v>
      </c>
      <c r="M151" t="s">
        <v>263</v>
      </c>
      <c r="N151" t="s">
        <v>14</v>
      </c>
      <c r="O151">
        <v>942</v>
      </c>
      <c r="P151">
        <v>76</v>
      </c>
      <c r="Q151">
        <v>838</v>
      </c>
      <c r="R151">
        <v>28</v>
      </c>
      <c r="S151">
        <v>0</v>
      </c>
      <c r="T151">
        <v>57</v>
      </c>
      <c r="U151">
        <v>5</v>
      </c>
      <c r="V151">
        <v>0</v>
      </c>
      <c r="W151">
        <v>0</v>
      </c>
      <c r="X151" t="s">
        <v>14</v>
      </c>
    </row>
    <row r="152" spans="1:24" x14ac:dyDescent="0.25">
      <c r="A152" s="3">
        <v>44002</v>
      </c>
      <c r="B152" t="s">
        <v>165</v>
      </c>
      <c r="C152">
        <v>2422754</v>
      </c>
      <c r="D152">
        <v>157552</v>
      </c>
      <c r="E152">
        <v>4249</v>
      </c>
      <c r="F152">
        <v>115305</v>
      </c>
      <c r="G152" s="2">
        <v>89.88</v>
      </c>
      <c r="H152">
        <v>48035</v>
      </c>
      <c r="I152" t="s">
        <v>14</v>
      </c>
      <c r="J152">
        <v>2803</v>
      </c>
      <c r="K152">
        <v>5.84</v>
      </c>
      <c r="L152" t="s">
        <v>22</v>
      </c>
      <c r="M152" t="s">
        <v>263</v>
      </c>
      <c r="N152" t="s">
        <v>14</v>
      </c>
      <c r="O152">
        <v>935</v>
      </c>
      <c r="P152">
        <v>16</v>
      </c>
      <c r="Q152">
        <v>136</v>
      </c>
      <c r="R152">
        <v>783</v>
      </c>
      <c r="S152">
        <v>0</v>
      </c>
      <c r="T152">
        <v>386</v>
      </c>
      <c r="U152">
        <v>7</v>
      </c>
      <c r="V152">
        <v>5183</v>
      </c>
      <c r="W152">
        <v>2139</v>
      </c>
      <c r="X152" t="s">
        <v>14</v>
      </c>
    </row>
    <row r="153" spans="1:24" x14ac:dyDescent="0.25">
      <c r="A153" s="3">
        <v>44003</v>
      </c>
      <c r="B153" t="s">
        <v>166</v>
      </c>
      <c r="C153">
        <v>219544</v>
      </c>
      <c r="D153">
        <v>128539</v>
      </c>
      <c r="E153">
        <v>3963</v>
      </c>
      <c r="F153">
        <v>68272</v>
      </c>
      <c r="G153" s="2">
        <v>74.09</v>
      </c>
      <c r="H153">
        <v>1980</v>
      </c>
      <c r="I153" t="s">
        <v>14</v>
      </c>
      <c r="J153">
        <v>201</v>
      </c>
      <c r="K153">
        <v>10.15</v>
      </c>
      <c r="L153" t="s">
        <v>12</v>
      </c>
      <c r="M153" t="s">
        <v>263</v>
      </c>
      <c r="N153" t="s">
        <v>14</v>
      </c>
      <c r="O153">
        <v>878</v>
      </c>
      <c r="P153">
        <v>15</v>
      </c>
      <c r="Q153">
        <v>797</v>
      </c>
      <c r="R153">
        <v>66</v>
      </c>
      <c r="S153">
        <v>0</v>
      </c>
      <c r="T153">
        <v>3999</v>
      </c>
      <c r="U153">
        <v>68</v>
      </c>
      <c r="V153">
        <v>3079</v>
      </c>
      <c r="W153">
        <v>14025</v>
      </c>
      <c r="X153" t="s">
        <v>14</v>
      </c>
    </row>
    <row r="154" spans="1:24" x14ac:dyDescent="0.25">
      <c r="A154" s="3">
        <v>44004</v>
      </c>
      <c r="B154" t="s">
        <v>167</v>
      </c>
      <c r="C154">
        <v>2356075</v>
      </c>
      <c r="D154">
        <v>137858</v>
      </c>
      <c r="E154">
        <v>3571</v>
      </c>
      <c r="F154">
        <v>91218</v>
      </c>
      <c r="G154" s="2">
        <v>83.04</v>
      </c>
      <c r="H154">
        <v>1953</v>
      </c>
      <c r="I154" t="s">
        <v>14</v>
      </c>
      <c r="J154">
        <v>134</v>
      </c>
      <c r="K154">
        <v>6.86</v>
      </c>
      <c r="L154" t="s">
        <v>12</v>
      </c>
      <c r="M154" t="s">
        <v>263</v>
      </c>
      <c r="N154" t="s">
        <v>14</v>
      </c>
      <c r="O154">
        <v>804</v>
      </c>
      <c r="P154">
        <v>2</v>
      </c>
      <c r="Q154">
        <v>63</v>
      </c>
      <c r="R154">
        <v>739</v>
      </c>
      <c r="S154">
        <v>1</v>
      </c>
      <c r="T154">
        <v>341</v>
      </c>
      <c r="U154">
        <v>0.8</v>
      </c>
      <c r="V154">
        <v>68423</v>
      </c>
      <c r="W154">
        <v>29041</v>
      </c>
      <c r="X154" t="s">
        <v>14</v>
      </c>
    </row>
    <row r="155" spans="1:24" x14ac:dyDescent="0.25">
      <c r="A155" s="3">
        <v>44005</v>
      </c>
      <c r="B155" t="s">
        <v>168</v>
      </c>
      <c r="C155">
        <v>393616</v>
      </c>
      <c r="D155">
        <v>165338</v>
      </c>
      <c r="E155">
        <v>5311</v>
      </c>
      <c r="F155">
        <v>103603</v>
      </c>
      <c r="G155" s="2">
        <v>48.28</v>
      </c>
      <c r="H155">
        <v>3130</v>
      </c>
      <c r="I155" t="s">
        <v>291</v>
      </c>
      <c r="J155">
        <v>66</v>
      </c>
      <c r="K155">
        <v>2.11</v>
      </c>
      <c r="L155" t="s">
        <v>10</v>
      </c>
      <c r="M155" t="s">
        <v>263</v>
      </c>
      <c r="N155" t="s">
        <v>291</v>
      </c>
      <c r="O155">
        <v>761</v>
      </c>
      <c r="P155">
        <v>14</v>
      </c>
      <c r="Q155">
        <v>91</v>
      </c>
      <c r="R155">
        <v>656</v>
      </c>
      <c r="S155">
        <v>1</v>
      </c>
      <c r="T155">
        <v>1933</v>
      </c>
      <c r="U155">
        <v>36</v>
      </c>
      <c r="V155">
        <v>4814</v>
      </c>
      <c r="W155">
        <v>12230</v>
      </c>
      <c r="X155" t="s">
        <v>291</v>
      </c>
    </row>
    <row r="156" spans="1:24" x14ac:dyDescent="0.25">
      <c r="A156" s="3">
        <v>44006</v>
      </c>
      <c r="B156" t="s">
        <v>169</v>
      </c>
      <c r="C156">
        <v>97425470</v>
      </c>
      <c r="D156">
        <v>171183</v>
      </c>
      <c r="E156">
        <v>5261</v>
      </c>
      <c r="F156">
        <v>115309</v>
      </c>
      <c r="G156" s="2">
        <v>60.75</v>
      </c>
      <c r="H156">
        <v>373628</v>
      </c>
      <c r="I156" t="s">
        <v>293</v>
      </c>
      <c r="J156">
        <v>78901</v>
      </c>
      <c r="K156">
        <v>21.12</v>
      </c>
      <c r="L156" t="s">
        <v>14</v>
      </c>
      <c r="M156" t="s">
        <v>263</v>
      </c>
      <c r="N156" t="s">
        <v>293</v>
      </c>
      <c r="O156">
        <v>747</v>
      </c>
      <c r="P156">
        <v>10</v>
      </c>
      <c r="Q156">
        <v>392</v>
      </c>
      <c r="R156">
        <v>345</v>
      </c>
      <c r="S156">
        <v>0</v>
      </c>
      <c r="T156">
        <v>8</v>
      </c>
      <c r="U156">
        <v>0.1</v>
      </c>
      <c r="V156">
        <v>482456</v>
      </c>
      <c r="W156">
        <v>4952</v>
      </c>
      <c r="X156" t="s">
        <v>293</v>
      </c>
    </row>
    <row r="157" spans="1:24" x14ac:dyDescent="0.25">
      <c r="A157" s="3">
        <v>44007</v>
      </c>
      <c r="B157" t="s">
        <v>170</v>
      </c>
      <c r="C157">
        <v>2143943</v>
      </c>
      <c r="D157">
        <v>177887</v>
      </c>
      <c r="E157">
        <v>6627</v>
      </c>
      <c r="F157">
        <v>92453</v>
      </c>
      <c r="G157" s="2">
        <v>91.58</v>
      </c>
      <c r="H157">
        <v>13816</v>
      </c>
      <c r="I157" t="s">
        <v>14</v>
      </c>
      <c r="J157">
        <v>387</v>
      </c>
      <c r="K157">
        <v>2.8</v>
      </c>
      <c r="L157" t="s">
        <v>22</v>
      </c>
      <c r="M157" t="s">
        <v>263</v>
      </c>
      <c r="N157" t="s">
        <v>14</v>
      </c>
      <c r="O157">
        <v>742</v>
      </c>
      <c r="P157">
        <v>23</v>
      </c>
      <c r="Q157">
        <v>175</v>
      </c>
      <c r="R157">
        <v>544</v>
      </c>
      <c r="S157">
        <v>0</v>
      </c>
      <c r="T157">
        <v>346</v>
      </c>
      <c r="U157">
        <v>11</v>
      </c>
      <c r="V157">
        <v>8771</v>
      </c>
      <c r="W157">
        <v>4091</v>
      </c>
      <c r="X157" t="s">
        <v>14</v>
      </c>
    </row>
    <row r="158" spans="1:24" x14ac:dyDescent="0.25">
      <c r="A158" s="3">
        <v>44008</v>
      </c>
      <c r="B158" t="s">
        <v>171</v>
      </c>
      <c r="C158">
        <v>0</v>
      </c>
      <c r="D158">
        <v>191346</v>
      </c>
      <c r="E158">
        <v>4827</v>
      </c>
      <c r="F158">
        <v>106316</v>
      </c>
      <c r="G158" s="2">
        <v>50.98</v>
      </c>
      <c r="H158">
        <v>2211</v>
      </c>
      <c r="I158" t="s">
        <v>14</v>
      </c>
      <c r="J158">
        <v>94</v>
      </c>
      <c r="K158">
        <v>4.25</v>
      </c>
      <c r="L158" t="s">
        <v>14</v>
      </c>
      <c r="M158" t="s">
        <v>263</v>
      </c>
      <c r="N158" t="s">
        <v>14</v>
      </c>
      <c r="O158">
        <v>712</v>
      </c>
      <c r="P158">
        <v>13</v>
      </c>
      <c r="Q158">
        <v>651</v>
      </c>
      <c r="R158">
        <v>48</v>
      </c>
      <c r="S158">
        <v>4</v>
      </c>
      <c r="T158">
        <v>0</v>
      </c>
      <c r="U158">
        <v>0</v>
      </c>
      <c r="V158">
        <v>0</v>
      </c>
      <c r="W158">
        <v>0</v>
      </c>
      <c r="X158" t="s">
        <v>14</v>
      </c>
    </row>
    <row r="159" spans="1:24" x14ac:dyDescent="0.25">
      <c r="A159" s="3">
        <v>44009</v>
      </c>
      <c r="B159" t="s">
        <v>172</v>
      </c>
      <c r="C159">
        <v>33938</v>
      </c>
      <c r="D159">
        <v>178110</v>
      </c>
      <c r="E159">
        <v>4486</v>
      </c>
      <c r="F159">
        <v>106034</v>
      </c>
      <c r="G159" s="2">
        <v>55.2</v>
      </c>
      <c r="H159">
        <v>264836</v>
      </c>
      <c r="I159" t="s">
        <v>12</v>
      </c>
      <c r="J159">
        <v>7585</v>
      </c>
      <c r="K159">
        <v>2.86</v>
      </c>
      <c r="L159" t="s">
        <v>12</v>
      </c>
      <c r="M159" t="s">
        <v>263</v>
      </c>
      <c r="N159" t="s">
        <v>12</v>
      </c>
      <c r="O159">
        <v>699</v>
      </c>
      <c r="P159">
        <v>42</v>
      </c>
      <c r="Q159">
        <v>657</v>
      </c>
      <c r="R159">
        <v>0</v>
      </c>
      <c r="S159">
        <v>0</v>
      </c>
      <c r="T159">
        <v>20596</v>
      </c>
      <c r="U159">
        <v>1238</v>
      </c>
      <c r="V159">
        <v>6068</v>
      </c>
      <c r="W159">
        <v>178797</v>
      </c>
      <c r="X159" t="s">
        <v>12</v>
      </c>
    </row>
    <row r="160" spans="1:24" x14ac:dyDescent="0.25">
      <c r="A160" s="3">
        <v>44010</v>
      </c>
      <c r="B160" t="s">
        <v>173</v>
      </c>
      <c r="C160">
        <v>895952</v>
      </c>
      <c r="D160">
        <v>162349</v>
      </c>
      <c r="E160">
        <v>3089</v>
      </c>
      <c r="F160">
        <v>88784</v>
      </c>
      <c r="G160" s="2">
        <v>75.61</v>
      </c>
      <c r="H160">
        <v>2730</v>
      </c>
      <c r="I160" t="s">
        <v>14</v>
      </c>
      <c r="J160">
        <v>75</v>
      </c>
      <c r="K160">
        <v>2.75</v>
      </c>
      <c r="L160" t="s">
        <v>28</v>
      </c>
      <c r="M160" t="s">
        <v>263</v>
      </c>
      <c r="N160" t="s">
        <v>14</v>
      </c>
      <c r="O160">
        <v>671</v>
      </c>
      <c r="P160">
        <v>5</v>
      </c>
      <c r="Q160">
        <v>592</v>
      </c>
      <c r="R160">
        <v>74</v>
      </c>
      <c r="S160">
        <v>3</v>
      </c>
      <c r="T160">
        <v>749</v>
      </c>
      <c r="U160">
        <v>6</v>
      </c>
      <c r="V160">
        <v>35419</v>
      </c>
      <c r="W160">
        <v>39532</v>
      </c>
      <c r="X160" t="s">
        <v>14</v>
      </c>
    </row>
    <row r="161" spans="1:24" x14ac:dyDescent="0.25">
      <c r="A161" s="3">
        <v>44011</v>
      </c>
      <c r="B161" t="s">
        <v>174</v>
      </c>
      <c r="C161">
        <v>174022</v>
      </c>
      <c r="D161">
        <v>158572</v>
      </c>
      <c r="E161">
        <v>3721</v>
      </c>
      <c r="F161">
        <v>93902</v>
      </c>
      <c r="G161" s="2">
        <v>51.99</v>
      </c>
      <c r="H161">
        <v>10992</v>
      </c>
      <c r="I161" t="s">
        <v>12</v>
      </c>
      <c r="J161">
        <v>432</v>
      </c>
      <c r="K161">
        <v>3.93</v>
      </c>
      <c r="L161" t="s">
        <v>10</v>
      </c>
      <c r="M161" t="s">
        <v>263</v>
      </c>
      <c r="N161" t="s">
        <v>12</v>
      </c>
      <c r="O161">
        <v>597</v>
      </c>
      <c r="P161">
        <v>47</v>
      </c>
      <c r="Q161">
        <v>533</v>
      </c>
      <c r="R161">
        <v>17</v>
      </c>
      <c r="S161">
        <v>0</v>
      </c>
      <c r="T161">
        <v>3431</v>
      </c>
      <c r="U161">
        <v>270</v>
      </c>
      <c r="V161">
        <v>30721</v>
      </c>
      <c r="W161">
        <v>176535</v>
      </c>
      <c r="X161" t="s">
        <v>12</v>
      </c>
    </row>
    <row r="162" spans="1:24" x14ac:dyDescent="0.25">
      <c r="A162" s="3">
        <v>44012</v>
      </c>
      <c r="B162" t="s">
        <v>175</v>
      </c>
      <c r="C162">
        <v>786936</v>
      </c>
      <c r="D162">
        <v>173898</v>
      </c>
      <c r="E162">
        <v>5132</v>
      </c>
      <c r="F162">
        <v>116965</v>
      </c>
      <c r="G162" s="2">
        <v>62.37</v>
      </c>
      <c r="H162">
        <v>1079</v>
      </c>
      <c r="I162" t="s">
        <v>292</v>
      </c>
      <c r="J162">
        <v>404</v>
      </c>
      <c r="K162">
        <v>37.44</v>
      </c>
      <c r="L162" t="s">
        <v>18</v>
      </c>
      <c r="M162" t="s">
        <v>263</v>
      </c>
      <c r="N162" t="s">
        <v>292</v>
      </c>
      <c r="O162">
        <v>538</v>
      </c>
      <c r="P162">
        <v>22</v>
      </c>
      <c r="Q162">
        <v>189</v>
      </c>
      <c r="R162">
        <v>327</v>
      </c>
      <c r="S162">
        <v>2</v>
      </c>
      <c r="T162">
        <v>684</v>
      </c>
      <c r="U162">
        <v>28</v>
      </c>
      <c r="V162">
        <v>5165</v>
      </c>
      <c r="W162">
        <v>6563</v>
      </c>
      <c r="X162" t="s">
        <v>292</v>
      </c>
    </row>
    <row r="163" spans="1:24" x14ac:dyDescent="0.25">
      <c r="A163" s="3">
        <v>44013</v>
      </c>
      <c r="B163" t="s">
        <v>176</v>
      </c>
      <c r="C163">
        <v>59886383</v>
      </c>
      <c r="D163">
        <v>217689</v>
      </c>
      <c r="E163">
        <v>5011</v>
      </c>
      <c r="F163">
        <v>115624</v>
      </c>
      <c r="G163" s="2">
        <v>0</v>
      </c>
      <c r="H163">
        <v>78048</v>
      </c>
      <c r="I163" t="s">
        <v>14</v>
      </c>
      <c r="J163">
        <v>1347</v>
      </c>
      <c r="K163">
        <v>1.73</v>
      </c>
      <c r="L163" t="s">
        <v>12</v>
      </c>
      <c r="M163" t="s">
        <v>263</v>
      </c>
      <c r="N163" t="s">
        <v>14</v>
      </c>
      <c r="O163">
        <v>509</v>
      </c>
      <c r="P163">
        <v>21</v>
      </c>
      <c r="Q163">
        <v>183</v>
      </c>
      <c r="R163">
        <v>305</v>
      </c>
      <c r="S163">
        <v>7</v>
      </c>
      <c r="T163">
        <v>8</v>
      </c>
      <c r="U163">
        <v>0.4</v>
      </c>
      <c r="V163">
        <v>0</v>
      </c>
      <c r="W163">
        <v>0</v>
      </c>
      <c r="X163" t="s">
        <v>14</v>
      </c>
    </row>
    <row r="164" spans="1:24" x14ac:dyDescent="0.25">
      <c r="A164" s="3">
        <v>44014</v>
      </c>
      <c r="B164" t="s">
        <v>177</v>
      </c>
      <c r="C164">
        <v>23821199</v>
      </c>
      <c r="D164">
        <v>207705</v>
      </c>
      <c r="E164">
        <v>5120</v>
      </c>
      <c r="F164">
        <v>284394</v>
      </c>
      <c r="G164" s="2">
        <v>89.62</v>
      </c>
      <c r="H164">
        <v>33634</v>
      </c>
      <c r="I164" t="s">
        <v>293</v>
      </c>
      <c r="J164">
        <v>843</v>
      </c>
      <c r="K164">
        <v>2.5099999999999998</v>
      </c>
      <c r="L164" t="s">
        <v>12</v>
      </c>
      <c r="M164" t="s">
        <v>263</v>
      </c>
      <c r="N164" t="s">
        <v>293</v>
      </c>
      <c r="O164">
        <v>477</v>
      </c>
      <c r="P164">
        <v>7</v>
      </c>
      <c r="Q164">
        <v>443</v>
      </c>
      <c r="R164">
        <v>27</v>
      </c>
      <c r="S164">
        <v>0</v>
      </c>
      <c r="T164">
        <v>20</v>
      </c>
      <c r="U164">
        <v>0.3</v>
      </c>
      <c r="V164">
        <v>82737</v>
      </c>
      <c r="W164">
        <v>3473</v>
      </c>
      <c r="X164" t="s">
        <v>293</v>
      </c>
    </row>
    <row r="165" spans="1:24" x14ac:dyDescent="0.25">
      <c r="A165" s="3">
        <v>44015</v>
      </c>
      <c r="B165" t="s">
        <v>178</v>
      </c>
      <c r="C165">
        <v>871326</v>
      </c>
      <c r="D165">
        <v>203495</v>
      </c>
      <c r="E165">
        <v>4995</v>
      </c>
      <c r="F165">
        <v>109465</v>
      </c>
      <c r="G165" s="2">
        <v>0</v>
      </c>
      <c r="H165">
        <v>522</v>
      </c>
      <c r="I165" t="s">
        <v>14</v>
      </c>
      <c r="J165">
        <v>152</v>
      </c>
      <c r="K165">
        <v>29.12</v>
      </c>
      <c r="L165" t="s">
        <v>10</v>
      </c>
      <c r="M165" t="s">
        <v>263</v>
      </c>
      <c r="N165" t="s">
        <v>14</v>
      </c>
      <c r="O165">
        <v>396</v>
      </c>
      <c r="P165">
        <v>7</v>
      </c>
      <c r="Q165">
        <v>340</v>
      </c>
      <c r="R165">
        <v>49</v>
      </c>
      <c r="S165">
        <v>0</v>
      </c>
      <c r="T165">
        <v>454</v>
      </c>
      <c r="U165">
        <v>8</v>
      </c>
      <c r="V165">
        <v>0</v>
      </c>
      <c r="W165">
        <v>0</v>
      </c>
      <c r="X165" t="s">
        <v>14</v>
      </c>
    </row>
    <row r="166" spans="1:24" x14ac:dyDescent="0.25">
      <c r="A166" s="3">
        <v>44016</v>
      </c>
      <c r="B166" t="s">
        <v>179</v>
      </c>
      <c r="C166">
        <v>11922216</v>
      </c>
      <c r="D166">
        <v>193567</v>
      </c>
      <c r="E166">
        <v>4369</v>
      </c>
      <c r="F166">
        <v>195433</v>
      </c>
      <c r="G166" s="2">
        <v>95.24</v>
      </c>
      <c r="H166">
        <v>451</v>
      </c>
      <c r="I166" t="s">
        <v>14</v>
      </c>
      <c r="J166">
        <v>11</v>
      </c>
      <c r="K166">
        <v>2.44</v>
      </c>
      <c r="L166" t="s">
        <v>22</v>
      </c>
      <c r="M166" t="s">
        <v>264</v>
      </c>
      <c r="N166" t="s">
        <v>14</v>
      </c>
      <c r="O166">
        <v>395</v>
      </c>
      <c r="P166">
        <v>1</v>
      </c>
      <c r="Q166">
        <v>304</v>
      </c>
      <c r="R166">
        <v>90</v>
      </c>
      <c r="S166">
        <v>0</v>
      </c>
      <c r="T166">
        <v>33</v>
      </c>
      <c r="U166">
        <v>0.08</v>
      </c>
      <c r="V166">
        <v>15614</v>
      </c>
      <c r="W166">
        <v>1310</v>
      </c>
      <c r="X166" t="s">
        <v>14</v>
      </c>
    </row>
    <row r="167" spans="1:24" x14ac:dyDescent="0.25">
      <c r="A167" s="3">
        <v>44017</v>
      </c>
      <c r="B167" t="s">
        <v>180</v>
      </c>
      <c r="C167">
        <v>54446389</v>
      </c>
      <c r="D167">
        <v>182695</v>
      </c>
      <c r="E167">
        <v>3445</v>
      </c>
      <c r="F167">
        <v>119171</v>
      </c>
      <c r="G167" s="2">
        <v>83.32</v>
      </c>
      <c r="H167">
        <v>6921</v>
      </c>
      <c r="I167" t="s">
        <v>293</v>
      </c>
      <c r="J167">
        <v>314</v>
      </c>
      <c r="K167">
        <v>4.54</v>
      </c>
      <c r="L167" t="s">
        <v>12</v>
      </c>
      <c r="M167" t="s">
        <v>265</v>
      </c>
      <c r="N167" t="s">
        <v>293</v>
      </c>
      <c r="O167">
        <v>357</v>
      </c>
      <c r="P167">
        <v>6</v>
      </c>
      <c r="Q167">
        <v>308</v>
      </c>
      <c r="R167">
        <v>43</v>
      </c>
      <c r="S167">
        <v>0</v>
      </c>
      <c r="T167">
        <v>7</v>
      </c>
      <c r="U167">
        <v>0.1</v>
      </c>
      <c r="V167">
        <v>122290</v>
      </c>
      <c r="W167">
        <v>2246</v>
      </c>
      <c r="X167" t="s">
        <v>293</v>
      </c>
    </row>
    <row r="168" spans="1:24" x14ac:dyDescent="0.25">
      <c r="A168" s="3">
        <v>44018</v>
      </c>
      <c r="B168" t="s">
        <v>181</v>
      </c>
      <c r="C168">
        <v>1271985</v>
      </c>
      <c r="D168">
        <v>167343</v>
      </c>
      <c r="E168">
        <v>3797</v>
      </c>
      <c r="F168">
        <v>123222</v>
      </c>
      <c r="G168" s="2">
        <v>35.950000000000003</v>
      </c>
      <c r="H168">
        <v>509</v>
      </c>
      <c r="I168" t="s">
        <v>14</v>
      </c>
      <c r="J168">
        <v>0</v>
      </c>
      <c r="K168">
        <v>0</v>
      </c>
      <c r="L168" t="s">
        <v>14</v>
      </c>
      <c r="M168" t="s">
        <v>266</v>
      </c>
      <c r="N168" t="s">
        <v>14</v>
      </c>
      <c r="O168">
        <v>344</v>
      </c>
      <c r="P168">
        <v>10</v>
      </c>
      <c r="Q168">
        <v>334</v>
      </c>
      <c r="R168">
        <v>0</v>
      </c>
      <c r="S168">
        <v>0</v>
      </c>
      <c r="T168">
        <v>270</v>
      </c>
      <c r="U168">
        <v>8</v>
      </c>
      <c r="V168">
        <v>205285</v>
      </c>
      <c r="W168">
        <v>161389</v>
      </c>
      <c r="X168" t="s">
        <v>14</v>
      </c>
    </row>
    <row r="169" spans="1:24" x14ac:dyDescent="0.25">
      <c r="A169" s="3">
        <v>44019</v>
      </c>
      <c r="B169" t="s">
        <v>182</v>
      </c>
      <c r="C169">
        <v>85078</v>
      </c>
      <c r="D169">
        <v>210844</v>
      </c>
      <c r="E169">
        <v>6107</v>
      </c>
      <c r="F169">
        <v>144745</v>
      </c>
      <c r="G169" s="2">
        <v>94.36</v>
      </c>
      <c r="H169">
        <v>3250</v>
      </c>
      <c r="I169" t="s">
        <v>12</v>
      </c>
      <c r="J169">
        <v>47</v>
      </c>
      <c r="K169">
        <v>1.45</v>
      </c>
      <c r="L169" t="s">
        <v>28</v>
      </c>
      <c r="M169" t="s">
        <v>266</v>
      </c>
      <c r="N169" t="s">
        <v>12</v>
      </c>
      <c r="O169">
        <v>336</v>
      </c>
      <c r="P169">
        <v>24</v>
      </c>
      <c r="Q169">
        <v>312</v>
      </c>
      <c r="R169">
        <v>0</v>
      </c>
      <c r="S169">
        <v>0</v>
      </c>
      <c r="T169">
        <v>3949</v>
      </c>
      <c r="U169">
        <v>282</v>
      </c>
      <c r="V169">
        <v>8627</v>
      </c>
      <c r="W169">
        <v>101401</v>
      </c>
      <c r="X169" t="s">
        <v>12</v>
      </c>
    </row>
    <row r="170" spans="1:24" x14ac:dyDescent="0.25">
      <c r="A170" s="3">
        <v>44020</v>
      </c>
      <c r="B170" t="s">
        <v>183</v>
      </c>
      <c r="C170">
        <v>3283344</v>
      </c>
      <c r="D170">
        <v>211802</v>
      </c>
      <c r="E170">
        <v>5319</v>
      </c>
      <c r="F170">
        <v>157503</v>
      </c>
      <c r="G170" s="2">
        <v>0</v>
      </c>
      <c r="H170">
        <v>24</v>
      </c>
      <c r="I170" t="s">
        <v>293</v>
      </c>
      <c r="J170">
        <v>0</v>
      </c>
      <c r="K170">
        <v>0</v>
      </c>
      <c r="L170" t="s">
        <v>28</v>
      </c>
      <c r="M170" t="s">
        <v>266</v>
      </c>
      <c r="N170" t="s">
        <v>293</v>
      </c>
      <c r="O170">
        <v>293</v>
      </c>
      <c r="P170">
        <v>0</v>
      </c>
      <c r="Q170">
        <v>260</v>
      </c>
      <c r="R170">
        <v>33</v>
      </c>
      <c r="S170">
        <v>1</v>
      </c>
      <c r="T170">
        <v>89</v>
      </c>
      <c r="U170">
        <v>0</v>
      </c>
      <c r="V170">
        <v>38334</v>
      </c>
      <c r="W170">
        <v>11675</v>
      </c>
      <c r="X170" t="s">
        <v>293</v>
      </c>
    </row>
    <row r="171" spans="1:24" x14ac:dyDescent="0.25">
      <c r="A171" s="3">
        <v>44021</v>
      </c>
      <c r="B171" t="s">
        <v>184</v>
      </c>
      <c r="C171">
        <v>3551175</v>
      </c>
      <c r="D171">
        <v>228227</v>
      </c>
      <c r="E171">
        <v>5458</v>
      </c>
      <c r="F171">
        <v>134221</v>
      </c>
      <c r="G171" s="2">
        <v>69.45</v>
      </c>
      <c r="H171">
        <v>783</v>
      </c>
      <c r="I171" t="s">
        <v>14</v>
      </c>
      <c r="J171">
        <v>91</v>
      </c>
      <c r="K171">
        <v>11.62</v>
      </c>
      <c r="L171" t="s">
        <v>14</v>
      </c>
      <c r="M171" t="s">
        <v>266</v>
      </c>
      <c r="N171" t="s">
        <v>14</v>
      </c>
      <c r="O171">
        <v>282</v>
      </c>
      <c r="P171">
        <v>0</v>
      </c>
      <c r="Q171">
        <v>225</v>
      </c>
      <c r="R171">
        <v>57</v>
      </c>
      <c r="S171">
        <v>0</v>
      </c>
      <c r="T171">
        <v>79</v>
      </c>
      <c r="U171">
        <v>0</v>
      </c>
      <c r="V171">
        <v>0</v>
      </c>
      <c r="W171">
        <v>0</v>
      </c>
      <c r="X171" t="s">
        <v>14</v>
      </c>
    </row>
    <row r="172" spans="1:24" x14ac:dyDescent="0.25">
      <c r="A172" s="3">
        <v>44022</v>
      </c>
      <c r="B172" t="s">
        <v>185</v>
      </c>
      <c r="C172">
        <v>400131</v>
      </c>
      <c r="D172">
        <v>232577</v>
      </c>
      <c r="E172">
        <v>5311</v>
      </c>
      <c r="F172">
        <v>139017</v>
      </c>
      <c r="G172" s="2">
        <v>86.49</v>
      </c>
      <c r="H172">
        <v>137</v>
      </c>
      <c r="I172" t="s">
        <v>291</v>
      </c>
      <c r="J172">
        <v>11</v>
      </c>
      <c r="K172">
        <v>8.0299999999999994</v>
      </c>
      <c r="L172" t="s">
        <v>18</v>
      </c>
      <c r="M172" t="s">
        <v>266</v>
      </c>
      <c r="N172" t="s">
        <v>291</v>
      </c>
      <c r="O172">
        <v>279</v>
      </c>
      <c r="P172">
        <v>14</v>
      </c>
      <c r="Q172">
        <v>179</v>
      </c>
      <c r="R172">
        <v>86</v>
      </c>
      <c r="S172">
        <v>0</v>
      </c>
      <c r="T172">
        <v>697</v>
      </c>
      <c r="U172">
        <v>35</v>
      </c>
      <c r="V172">
        <v>18476</v>
      </c>
      <c r="W172">
        <v>46175</v>
      </c>
      <c r="X172" t="s">
        <v>291</v>
      </c>
    </row>
    <row r="173" spans="1:24" x14ac:dyDescent="0.25">
      <c r="A173" s="3">
        <v>44023</v>
      </c>
      <c r="B173" t="s">
        <v>186</v>
      </c>
      <c r="C173">
        <v>375235</v>
      </c>
      <c r="D173">
        <v>216328</v>
      </c>
      <c r="E173">
        <v>4897</v>
      </c>
      <c r="F173">
        <v>125457</v>
      </c>
      <c r="G173" s="2">
        <v>79.52</v>
      </c>
      <c r="H173">
        <v>1381</v>
      </c>
      <c r="I173" t="s">
        <v>291</v>
      </c>
      <c r="J173">
        <v>74</v>
      </c>
      <c r="K173">
        <v>5.36</v>
      </c>
      <c r="L173" t="s">
        <v>10</v>
      </c>
      <c r="M173" t="s">
        <v>266</v>
      </c>
      <c r="N173" t="s">
        <v>291</v>
      </c>
      <c r="O173">
        <v>276</v>
      </c>
      <c r="P173">
        <v>15</v>
      </c>
      <c r="Q173">
        <v>98</v>
      </c>
      <c r="R173">
        <v>163</v>
      </c>
      <c r="S173">
        <v>1</v>
      </c>
      <c r="T173">
        <v>736</v>
      </c>
      <c r="U173">
        <v>40</v>
      </c>
      <c r="V173">
        <v>12227</v>
      </c>
      <c r="W173">
        <v>32585</v>
      </c>
      <c r="X173" t="s">
        <v>291</v>
      </c>
    </row>
    <row r="174" spans="1:24" x14ac:dyDescent="0.25">
      <c r="A174" s="3">
        <v>44024</v>
      </c>
      <c r="B174" t="s">
        <v>187</v>
      </c>
      <c r="C174">
        <v>48882</v>
      </c>
      <c r="D174">
        <v>192668</v>
      </c>
      <c r="E174">
        <v>3954</v>
      </c>
      <c r="F174">
        <v>111463</v>
      </c>
      <c r="G174" s="2">
        <v>92.71</v>
      </c>
      <c r="H174">
        <v>220572</v>
      </c>
      <c r="I174" t="s">
        <v>12</v>
      </c>
      <c r="J174">
        <v>6447</v>
      </c>
      <c r="K174">
        <v>2.92</v>
      </c>
      <c r="L174" t="s">
        <v>12</v>
      </c>
      <c r="M174" t="s">
        <v>266</v>
      </c>
      <c r="N174" t="s">
        <v>12</v>
      </c>
      <c r="O174">
        <v>266</v>
      </c>
      <c r="P174">
        <v>0</v>
      </c>
      <c r="Q174">
        <v>192</v>
      </c>
      <c r="R174">
        <v>74</v>
      </c>
      <c r="S174">
        <v>1</v>
      </c>
      <c r="T174">
        <v>5442</v>
      </c>
      <c r="U174">
        <v>0</v>
      </c>
      <c r="V174">
        <v>43045</v>
      </c>
      <c r="W174">
        <v>880590</v>
      </c>
      <c r="X174" t="s">
        <v>12</v>
      </c>
    </row>
    <row r="175" spans="1:24" x14ac:dyDescent="0.25">
      <c r="A175" s="3">
        <v>44025</v>
      </c>
      <c r="B175" t="s">
        <v>188</v>
      </c>
      <c r="C175">
        <v>106812</v>
      </c>
      <c r="D175">
        <v>192779</v>
      </c>
      <c r="E175">
        <v>3815</v>
      </c>
      <c r="F175">
        <v>139965</v>
      </c>
      <c r="G175" s="2">
        <v>30.9</v>
      </c>
      <c r="H175">
        <v>3834677</v>
      </c>
      <c r="I175" t="s">
        <v>291</v>
      </c>
      <c r="J175">
        <v>455582</v>
      </c>
      <c r="K175">
        <v>11.88</v>
      </c>
      <c r="L175" t="s">
        <v>18</v>
      </c>
      <c r="M175" t="s">
        <v>266</v>
      </c>
      <c r="N175" t="s">
        <v>291</v>
      </c>
      <c r="O175">
        <v>263</v>
      </c>
      <c r="P175">
        <v>3</v>
      </c>
      <c r="Q175">
        <v>114</v>
      </c>
      <c r="R175">
        <v>146</v>
      </c>
      <c r="S175">
        <v>0</v>
      </c>
      <c r="T175">
        <v>2462</v>
      </c>
      <c r="U175">
        <v>28</v>
      </c>
      <c r="V175">
        <v>14047</v>
      </c>
      <c r="W175">
        <v>131511</v>
      </c>
      <c r="X175" t="s">
        <v>291</v>
      </c>
    </row>
    <row r="176" spans="1:24" x14ac:dyDescent="0.25">
      <c r="A176" s="3">
        <v>44026</v>
      </c>
      <c r="B176" t="s">
        <v>189</v>
      </c>
      <c r="C176">
        <v>16741375</v>
      </c>
      <c r="D176">
        <v>221452</v>
      </c>
      <c r="E176">
        <v>5660</v>
      </c>
      <c r="F176">
        <v>141758</v>
      </c>
      <c r="G176" s="2">
        <v>87.41</v>
      </c>
      <c r="H176">
        <v>1069</v>
      </c>
      <c r="I176" t="s">
        <v>293</v>
      </c>
      <c r="J176">
        <v>59</v>
      </c>
      <c r="K176">
        <v>5.52</v>
      </c>
      <c r="L176" t="s">
        <v>14</v>
      </c>
      <c r="M176" t="s">
        <v>266</v>
      </c>
      <c r="N176" t="s">
        <v>293</v>
      </c>
      <c r="O176">
        <v>243</v>
      </c>
      <c r="P176">
        <v>0</v>
      </c>
      <c r="Q176">
        <v>210</v>
      </c>
      <c r="R176">
        <v>33</v>
      </c>
      <c r="S176">
        <v>1</v>
      </c>
      <c r="T176">
        <v>15</v>
      </c>
      <c r="U176">
        <v>0</v>
      </c>
      <c r="V176">
        <v>67807</v>
      </c>
      <c r="W176">
        <v>4050</v>
      </c>
      <c r="X176" t="s">
        <v>293</v>
      </c>
    </row>
    <row r="177" spans="1:24" x14ac:dyDescent="0.25">
      <c r="A177" s="3">
        <v>44027</v>
      </c>
      <c r="B177" t="s">
        <v>190</v>
      </c>
      <c r="C177">
        <v>1399950</v>
      </c>
      <c r="D177">
        <v>231122</v>
      </c>
      <c r="E177">
        <v>5493</v>
      </c>
      <c r="F177">
        <v>159423</v>
      </c>
      <c r="G177" s="2">
        <v>55.45</v>
      </c>
      <c r="H177">
        <v>60767</v>
      </c>
      <c r="I177" t="s">
        <v>291</v>
      </c>
      <c r="J177">
        <v>6329</v>
      </c>
      <c r="K177">
        <v>10.42</v>
      </c>
      <c r="L177" t="s">
        <v>12</v>
      </c>
      <c r="M177" t="s">
        <v>266</v>
      </c>
      <c r="N177" t="s">
        <v>291</v>
      </c>
      <c r="O177">
        <v>210</v>
      </c>
      <c r="P177">
        <v>8</v>
      </c>
      <c r="Q177">
        <v>135</v>
      </c>
      <c r="R177">
        <v>67</v>
      </c>
      <c r="S177">
        <v>0</v>
      </c>
      <c r="T177">
        <v>150</v>
      </c>
      <c r="U177">
        <v>6</v>
      </c>
      <c r="V177">
        <v>9559</v>
      </c>
      <c r="W177">
        <v>6828</v>
      </c>
      <c r="X177" t="s">
        <v>291</v>
      </c>
    </row>
    <row r="178" spans="1:24" x14ac:dyDescent="0.25">
      <c r="A178" s="3">
        <v>44028</v>
      </c>
      <c r="B178" t="s">
        <v>191</v>
      </c>
      <c r="C178">
        <v>65798</v>
      </c>
      <c r="D178">
        <v>252544</v>
      </c>
      <c r="E178">
        <v>5799</v>
      </c>
      <c r="F178">
        <v>151921</v>
      </c>
      <c r="G178" s="2">
        <v>88.73</v>
      </c>
      <c r="H178">
        <v>57193</v>
      </c>
      <c r="I178" t="s">
        <v>291</v>
      </c>
      <c r="J178">
        <v>1984</v>
      </c>
      <c r="K178">
        <v>3.47</v>
      </c>
      <c r="L178" t="s">
        <v>10</v>
      </c>
      <c r="M178" t="s">
        <v>266</v>
      </c>
      <c r="N178" t="s">
        <v>291</v>
      </c>
      <c r="O178">
        <v>203</v>
      </c>
      <c r="P178">
        <v>1</v>
      </c>
      <c r="Q178">
        <v>202</v>
      </c>
      <c r="R178">
        <v>0</v>
      </c>
      <c r="S178">
        <v>0</v>
      </c>
      <c r="T178">
        <v>3085</v>
      </c>
      <c r="U178">
        <v>15</v>
      </c>
      <c r="V178">
        <v>31108</v>
      </c>
      <c r="W178">
        <v>472780</v>
      </c>
      <c r="X178" t="s">
        <v>291</v>
      </c>
    </row>
    <row r="179" spans="1:24" x14ac:dyDescent="0.25">
      <c r="A179" s="3">
        <v>44029</v>
      </c>
      <c r="B179" t="s">
        <v>192</v>
      </c>
      <c r="C179">
        <v>33690</v>
      </c>
      <c r="D179">
        <v>242038</v>
      </c>
      <c r="E179">
        <v>6743</v>
      </c>
      <c r="F179">
        <v>159519</v>
      </c>
      <c r="G179" s="2">
        <v>0.48</v>
      </c>
      <c r="H179">
        <v>296944</v>
      </c>
      <c r="I179" t="s">
        <v>12</v>
      </c>
      <c r="J179">
        <v>4764</v>
      </c>
      <c r="K179">
        <v>1.6</v>
      </c>
      <c r="L179" t="s">
        <v>12</v>
      </c>
      <c r="M179" t="s">
        <v>266</v>
      </c>
      <c r="N179" t="s">
        <v>12</v>
      </c>
      <c r="O179">
        <v>190</v>
      </c>
      <c r="P179">
        <v>0</v>
      </c>
      <c r="Q179">
        <v>184</v>
      </c>
      <c r="R179">
        <v>6</v>
      </c>
      <c r="S179">
        <v>0</v>
      </c>
      <c r="T179">
        <v>5640</v>
      </c>
      <c r="U179">
        <v>0</v>
      </c>
      <c r="V179">
        <v>23063</v>
      </c>
      <c r="W179">
        <v>684565</v>
      </c>
      <c r="X179" t="s">
        <v>12</v>
      </c>
    </row>
    <row r="180" spans="1:24" x14ac:dyDescent="0.25">
      <c r="A180" s="3">
        <v>44030</v>
      </c>
      <c r="B180" t="s">
        <v>193</v>
      </c>
      <c r="C180">
        <v>8963009</v>
      </c>
      <c r="D180">
        <v>237635</v>
      </c>
      <c r="E180">
        <v>5627</v>
      </c>
      <c r="F180">
        <v>150790</v>
      </c>
      <c r="G180" s="2">
        <v>79.12</v>
      </c>
      <c r="H180">
        <v>1064</v>
      </c>
      <c r="I180" t="s">
        <v>294</v>
      </c>
      <c r="J180">
        <v>138</v>
      </c>
      <c r="K180">
        <v>12.97</v>
      </c>
      <c r="L180" t="s">
        <v>18</v>
      </c>
      <c r="M180" t="s">
        <v>266</v>
      </c>
      <c r="N180" t="s">
        <v>294</v>
      </c>
      <c r="O180">
        <v>163</v>
      </c>
      <c r="P180">
        <v>3</v>
      </c>
      <c r="Q180">
        <v>53</v>
      </c>
      <c r="R180">
        <v>107</v>
      </c>
      <c r="S180">
        <v>0</v>
      </c>
      <c r="T180">
        <v>18</v>
      </c>
      <c r="U180">
        <v>0.3</v>
      </c>
      <c r="V180">
        <v>10808</v>
      </c>
      <c r="W180">
        <v>1206</v>
      </c>
      <c r="X180" t="s">
        <v>294</v>
      </c>
    </row>
    <row r="181" spans="1:24" x14ac:dyDescent="0.25">
      <c r="A181" s="3">
        <v>44031</v>
      </c>
      <c r="B181" t="s">
        <v>194</v>
      </c>
      <c r="C181">
        <v>42924</v>
      </c>
      <c r="D181">
        <v>214647</v>
      </c>
      <c r="E181">
        <v>4029</v>
      </c>
      <c r="F181">
        <v>87685</v>
      </c>
      <c r="G181" s="2">
        <v>55.04</v>
      </c>
      <c r="H181">
        <v>17149</v>
      </c>
      <c r="I181" t="s">
        <v>291</v>
      </c>
      <c r="J181">
        <v>4060</v>
      </c>
      <c r="K181">
        <v>23.67</v>
      </c>
      <c r="L181" t="s">
        <v>12</v>
      </c>
      <c r="M181" t="s">
        <v>266</v>
      </c>
      <c r="N181" t="s">
        <v>291</v>
      </c>
      <c r="O181">
        <v>160</v>
      </c>
      <c r="P181">
        <v>16</v>
      </c>
      <c r="Q181">
        <v>64</v>
      </c>
      <c r="R181">
        <v>80</v>
      </c>
      <c r="S181">
        <v>3</v>
      </c>
      <c r="T181">
        <v>3728</v>
      </c>
      <c r="U181">
        <v>373</v>
      </c>
      <c r="V181">
        <v>1115</v>
      </c>
      <c r="W181">
        <v>25976</v>
      </c>
      <c r="X181" t="s">
        <v>291</v>
      </c>
    </row>
    <row r="182" spans="1:24" x14ac:dyDescent="0.25">
      <c r="A182" s="3">
        <v>44032</v>
      </c>
      <c r="B182" t="s">
        <v>195</v>
      </c>
      <c r="C182">
        <v>62254</v>
      </c>
      <c r="D182">
        <v>206778</v>
      </c>
      <c r="E182">
        <v>4160</v>
      </c>
      <c r="F182">
        <v>158542</v>
      </c>
      <c r="G182" s="2">
        <v>62.29</v>
      </c>
      <c r="H182">
        <v>12334</v>
      </c>
      <c r="I182" t="s">
        <v>291</v>
      </c>
      <c r="J182">
        <v>3654</v>
      </c>
      <c r="K182">
        <v>29.63</v>
      </c>
      <c r="L182" t="s">
        <v>18</v>
      </c>
      <c r="M182" t="s">
        <v>266</v>
      </c>
      <c r="N182" t="s">
        <v>291</v>
      </c>
      <c r="O182">
        <v>157</v>
      </c>
      <c r="P182">
        <v>9</v>
      </c>
      <c r="Q182">
        <v>144</v>
      </c>
      <c r="R182">
        <v>4</v>
      </c>
      <c r="S182">
        <v>0</v>
      </c>
      <c r="T182">
        <v>2522</v>
      </c>
      <c r="U182">
        <v>145</v>
      </c>
      <c r="V182">
        <v>26352</v>
      </c>
      <c r="W182">
        <v>423298</v>
      </c>
      <c r="X182" t="s">
        <v>291</v>
      </c>
    </row>
    <row r="183" spans="1:24" x14ac:dyDescent="0.25">
      <c r="A183" s="3">
        <v>44033</v>
      </c>
      <c r="B183" t="s">
        <v>196</v>
      </c>
      <c r="C183">
        <v>437893</v>
      </c>
      <c r="D183">
        <v>233565</v>
      </c>
      <c r="E183">
        <v>6238</v>
      </c>
      <c r="F183">
        <v>174209</v>
      </c>
      <c r="G183" s="2">
        <v>84.69</v>
      </c>
      <c r="H183">
        <v>384</v>
      </c>
      <c r="I183" t="s">
        <v>293</v>
      </c>
      <c r="J183">
        <v>47</v>
      </c>
      <c r="K183">
        <v>12.24</v>
      </c>
      <c r="L183" t="s">
        <v>22</v>
      </c>
      <c r="M183" t="s">
        <v>266</v>
      </c>
      <c r="N183" t="s">
        <v>293</v>
      </c>
      <c r="O183">
        <v>141</v>
      </c>
      <c r="P183">
        <v>3</v>
      </c>
      <c r="Q183">
        <v>138</v>
      </c>
      <c r="R183">
        <v>0</v>
      </c>
      <c r="S183">
        <v>0</v>
      </c>
      <c r="T183">
        <v>322</v>
      </c>
      <c r="U183">
        <v>7</v>
      </c>
      <c r="V183">
        <v>41148</v>
      </c>
      <c r="W183">
        <v>93968</v>
      </c>
      <c r="X183" t="s">
        <v>293</v>
      </c>
    </row>
    <row r="184" spans="1:24" x14ac:dyDescent="0.25">
      <c r="A184" s="3">
        <v>44034</v>
      </c>
      <c r="B184" t="s">
        <v>197</v>
      </c>
      <c r="C184">
        <v>287411</v>
      </c>
      <c r="D184">
        <v>280647</v>
      </c>
      <c r="E184">
        <v>6983</v>
      </c>
      <c r="F184">
        <v>176269</v>
      </c>
      <c r="G184" s="2">
        <v>35.33</v>
      </c>
      <c r="H184">
        <v>8916</v>
      </c>
      <c r="I184" t="s">
        <v>291</v>
      </c>
      <c r="J184">
        <v>1705</v>
      </c>
      <c r="K184">
        <v>19.12</v>
      </c>
      <c r="L184" t="s">
        <v>10</v>
      </c>
      <c r="M184" t="s">
        <v>266</v>
      </c>
      <c r="N184" t="s">
        <v>291</v>
      </c>
      <c r="O184">
        <v>133</v>
      </c>
      <c r="P184">
        <v>7</v>
      </c>
      <c r="Q184">
        <v>100</v>
      </c>
      <c r="R184">
        <v>26</v>
      </c>
      <c r="S184">
        <v>0</v>
      </c>
      <c r="T184">
        <v>463</v>
      </c>
      <c r="U184">
        <v>24</v>
      </c>
      <c r="V184">
        <v>12233</v>
      </c>
      <c r="W184">
        <v>42563</v>
      </c>
      <c r="X184" t="s">
        <v>291</v>
      </c>
    </row>
    <row r="185" spans="1:24" x14ac:dyDescent="0.25">
      <c r="A185" s="3">
        <v>44035</v>
      </c>
      <c r="B185" t="s">
        <v>198</v>
      </c>
      <c r="C185">
        <v>38768</v>
      </c>
      <c r="D185">
        <v>282756</v>
      </c>
      <c r="E185">
        <v>9966</v>
      </c>
      <c r="F185">
        <v>169714</v>
      </c>
      <c r="G185" s="2">
        <v>80</v>
      </c>
      <c r="H185">
        <v>10</v>
      </c>
      <c r="I185" t="s">
        <v>291</v>
      </c>
      <c r="J185">
        <v>0</v>
      </c>
      <c r="K185">
        <v>0</v>
      </c>
      <c r="L185" t="s">
        <v>14</v>
      </c>
      <c r="M185" t="s">
        <v>266</v>
      </c>
      <c r="N185" t="s">
        <v>291</v>
      </c>
      <c r="O185">
        <v>129</v>
      </c>
      <c r="P185">
        <v>2</v>
      </c>
      <c r="Q185">
        <v>39</v>
      </c>
      <c r="R185">
        <v>88</v>
      </c>
      <c r="S185">
        <v>3</v>
      </c>
      <c r="T185">
        <v>3327</v>
      </c>
      <c r="U185">
        <v>52</v>
      </c>
      <c r="V185">
        <v>1252</v>
      </c>
      <c r="W185">
        <v>32295</v>
      </c>
      <c r="X185" t="s">
        <v>291</v>
      </c>
    </row>
    <row r="186" spans="1:24" x14ac:dyDescent="0.25">
      <c r="A186" s="3">
        <v>44036</v>
      </c>
      <c r="B186" t="s">
        <v>199</v>
      </c>
      <c r="C186">
        <v>98408</v>
      </c>
      <c r="D186">
        <v>281164</v>
      </c>
      <c r="E186">
        <v>6144</v>
      </c>
      <c r="F186">
        <v>228736</v>
      </c>
      <c r="G186" s="2">
        <v>49.26</v>
      </c>
      <c r="H186">
        <v>1619</v>
      </c>
      <c r="I186" t="s">
        <v>14</v>
      </c>
      <c r="J186">
        <v>72</v>
      </c>
      <c r="K186">
        <v>4.45</v>
      </c>
      <c r="L186" t="s">
        <v>10</v>
      </c>
      <c r="M186" t="s">
        <v>266</v>
      </c>
      <c r="N186" t="s">
        <v>14</v>
      </c>
      <c r="O186">
        <v>126</v>
      </c>
      <c r="P186">
        <v>0</v>
      </c>
      <c r="Q186">
        <v>124</v>
      </c>
      <c r="R186">
        <v>2</v>
      </c>
      <c r="S186">
        <v>0</v>
      </c>
      <c r="T186">
        <v>1280</v>
      </c>
      <c r="U186">
        <v>0</v>
      </c>
      <c r="V186">
        <v>0</v>
      </c>
      <c r="W186">
        <v>0</v>
      </c>
      <c r="X186" t="s">
        <v>14</v>
      </c>
    </row>
    <row r="187" spans="1:24" x14ac:dyDescent="0.25">
      <c r="A187" s="3">
        <v>44037</v>
      </c>
      <c r="B187" t="s">
        <v>200</v>
      </c>
      <c r="C187">
        <v>39270</v>
      </c>
      <c r="D187">
        <v>255545</v>
      </c>
      <c r="E187">
        <v>4867</v>
      </c>
      <c r="F187">
        <v>219038</v>
      </c>
      <c r="G187" s="2">
        <v>61.84</v>
      </c>
      <c r="H187">
        <v>3326</v>
      </c>
      <c r="I187" t="s">
        <v>12</v>
      </c>
      <c r="J187">
        <v>1226</v>
      </c>
      <c r="K187">
        <v>36.86</v>
      </c>
      <c r="L187" t="s">
        <v>14</v>
      </c>
      <c r="M187" t="s">
        <v>266</v>
      </c>
      <c r="N187" t="s">
        <v>12</v>
      </c>
      <c r="O187">
        <v>125</v>
      </c>
      <c r="P187">
        <v>4</v>
      </c>
      <c r="Q187">
        <v>105</v>
      </c>
      <c r="R187">
        <v>16</v>
      </c>
      <c r="S187">
        <v>2</v>
      </c>
      <c r="T187">
        <v>3183</v>
      </c>
      <c r="U187">
        <v>102</v>
      </c>
      <c r="V187">
        <v>38209</v>
      </c>
      <c r="W187">
        <v>972982</v>
      </c>
      <c r="X187" t="s">
        <v>12</v>
      </c>
    </row>
    <row r="188" spans="1:24" x14ac:dyDescent="0.25">
      <c r="A188" s="3">
        <v>44038</v>
      </c>
      <c r="B188" t="s">
        <v>201</v>
      </c>
      <c r="C188">
        <v>772443</v>
      </c>
      <c r="D188">
        <v>204606</v>
      </c>
      <c r="E188">
        <v>4104</v>
      </c>
      <c r="F188">
        <v>134721</v>
      </c>
      <c r="G188" s="2">
        <v>20.04</v>
      </c>
      <c r="H188">
        <v>1713</v>
      </c>
      <c r="I188" t="s">
        <v>293</v>
      </c>
      <c r="J188">
        <v>991</v>
      </c>
      <c r="K188">
        <v>57.85</v>
      </c>
      <c r="L188" t="s">
        <v>14</v>
      </c>
      <c r="M188" t="s">
        <v>266</v>
      </c>
      <c r="N188" t="s">
        <v>293</v>
      </c>
      <c r="O188">
        <v>105</v>
      </c>
      <c r="P188">
        <v>0</v>
      </c>
      <c r="Q188">
        <v>93</v>
      </c>
      <c r="R188">
        <v>12</v>
      </c>
      <c r="S188">
        <v>0</v>
      </c>
      <c r="T188">
        <v>136</v>
      </c>
      <c r="U188">
        <v>0</v>
      </c>
      <c r="V188">
        <v>54589</v>
      </c>
      <c r="W188">
        <v>70671</v>
      </c>
      <c r="X188" t="s">
        <v>293</v>
      </c>
    </row>
    <row r="189" spans="1:24" x14ac:dyDescent="0.25">
      <c r="A189" s="3">
        <v>44039</v>
      </c>
      <c r="C189">
        <v>98010</v>
      </c>
      <c r="D189">
        <v>228693</v>
      </c>
      <c r="E189">
        <v>5415</v>
      </c>
      <c r="F189">
        <v>174623</v>
      </c>
      <c r="I189" t="s">
        <v>291</v>
      </c>
      <c r="M189" t="s">
        <v>266</v>
      </c>
      <c r="N189" t="s">
        <v>291</v>
      </c>
      <c r="O189">
        <v>92</v>
      </c>
      <c r="P189">
        <v>3</v>
      </c>
      <c r="Q189">
        <v>76</v>
      </c>
      <c r="R189">
        <v>13</v>
      </c>
      <c r="S189">
        <v>1</v>
      </c>
      <c r="T189">
        <v>939</v>
      </c>
      <c r="U189">
        <v>31</v>
      </c>
      <c r="V189">
        <v>1500</v>
      </c>
      <c r="W189">
        <v>15305</v>
      </c>
      <c r="X189" t="s">
        <v>291</v>
      </c>
    </row>
    <row r="23075" spans="13:13" x14ac:dyDescent="0.25">
      <c r="M23075" t="s">
        <v>255</v>
      </c>
    </row>
    <row r="23076" spans="13:13" x14ac:dyDescent="0.25">
      <c r="M23076" t="s">
        <v>256</v>
      </c>
    </row>
    <row r="23077" spans="13:13" x14ac:dyDescent="0.25">
      <c r="M23077" t="s">
        <v>257</v>
      </c>
    </row>
    <row r="23078" spans="13:13" x14ac:dyDescent="0.25">
      <c r="M23078" t="s">
        <v>258</v>
      </c>
    </row>
    <row r="23079" spans="13:13" x14ac:dyDescent="0.25">
      <c r="M23079" t="s">
        <v>259</v>
      </c>
    </row>
    <row r="23080" spans="13:13" x14ac:dyDescent="0.25">
      <c r="M23080" t="s">
        <v>260</v>
      </c>
    </row>
    <row r="23081" spans="13:13" x14ac:dyDescent="0.25">
      <c r="M23081" t="s">
        <v>261</v>
      </c>
    </row>
    <row r="23082" spans="13:13" x14ac:dyDescent="0.25">
      <c r="M23082" t="s">
        <v>262</v>
      </c>
    </row>
    <row r="23083" spans="13:13" x14ac:dyDescent="0.25">
      <c r="M23083" t="s">
        <v>263</v>
      </c>
    </row>
    <row r="23134" spans="13:13" x14ac:dyDescent="0.25">
      <c r="M23134" t="s">
        <v>264</v>
      </c>
    </row>
    <row r="23135" spans="13:13" x14ac:dyDescent="0.25">
      <c r="M23135" t="s">
        <v>265</v>
      </c>
    </row>
    <row r="23136" spans="13:13" x14ac:dyDescent="0.25">
      <c r="M23136" t="s">
        <v>266</v>
      </c>
    </row>
    <row r="23185" spans="13:13" x14ac:dyDescent="0.25">
      <c r="M23185" t="s">
        <v>267</v>
      </c>
    </row>
    <row r="23186" spans="13:13" x14ac:dyDescent="0.25">
      <c r="M23186" t="s">
        <v>268</v>
      </c>
    </row>
    <row r="23187" spans="13:13" x14ac:dyDescent="0.25">
      <c r="M23187" t="s">
        <v>269</v>
      </c>
    </row>
    <row r="23188" spans="13:13" x14ac:dyDescent="0.25">
      <c r="M23188" t="s">
        <v>270</v>
      </c>
    </row>
    <row r="23189" spans="13:13" x14ac:dyDescent="0.25">
      <c r="M23189" t="s">
        <v>271</v>
      </c>
    </row>
    <row r="23190" spans="13:13" x14ac:dyDescent="0.25">
      <c r="M23190" t="s">
        <v>272</v>
      </c>
    </row>
    <row r="23211" spans="13:13" x14ac:dyDescent="0.25">
      <c r="M23211" t="s">
        <v>273</v>
      </c>
    </row>
    <row r="23212" spans="13:13" x14ac:dyDescent="0.25">
      <c r="M23212" t="s">
        <v>274</v>
      </c>
    </row>
    <row r="23215" spans="13:13" x14ac:dyDescent="0.25">
      <c r="M23215" t="s">
        <v>275</v>
      </c>
    </row>
    <row r="23216" spans="13:13" x14ac:dyDescent="0.25">
      <c r="M23216" t="s">
        <v>276</v>
      </c>
    </row>
    <row r="23217" spans="13:13" x14ac:dyDescent="0.25">
      <c r="M23217" t="s">
        <v>277</v>
      </c>
    </row>
    <row r="23222" spans="13:13" x14ac:dyDescent="0.25">
      <c r="M23222" t="s">
        <v>278</v>
      </c>
    </row>
    <row r="23223" spans="13:13" x14ac:dyDescent="0.25">
      <c r="M23223" t="s">
        <v>279</v>
      </c>
    </row>
    <row r="23239" spans="13:13" x14ac:dyDescent="0.25">
      <c r="M23239" t="s">
        <v>203</v>
      </c>
    </row>
    <row r="23240" spans="13:13" x14ac:dyDescent="0.25">
      <c r="M23240" t="s">
        <v>204</v>
      </c>
    </row>
    <row r="23241" spans="13:13" x14ac:dyDescent="0.25">
      <c r="M23241" t="s">
        <v>205</v>
      </c>
    </row>
    <row r="23242" spans="13:13" x14ac:dyDescent="0.25">
      <c r="M23242" t="s">
        <v>206</v>
      </c>
    </row>
    <row r="23243" spans="13:13" x14ac:dyDescent="0.25">
      <c r="M23243" t="s">
        <v>207</v>
      </c>
    </row>
    <row r="23244" spans="13:13" x14ac:dyDescent="0.25">
      <c r="M23244" t="s">
        <v>208</v>
      </c>
    </row>
    <row r="23245" spans="13:13" x14ac:dyDescent="0.25">
      <c r="M23245" t="s">
        <v>209</v>
      </c>
    </row>
    <row r="23246" spans="13:13" x14ac:dyDescent="0.25">
      <c r="M23246" t="s">
        <v>210</v>
      </c>
    </row>
    <row r="23266" spans="13:13" x14ac:dyDescent="0.25">
      <c r="M23266" t="s">
        <v>211</v>
      </c>
    </row>
    <row r="23267" spans="13:13" x14ac:dyDescent="0.25">
      <c r="M23267" t="s">
        <v>212</v>
      </c>
    </row>
    <row r="23268" spans="13:13" x14ac:dyDescent="0.25">
      <c r="M23268" t="s">
        <v>213</v>
      </c>
    </row>
    <row r="23269" spans="13:13" x14ac:dyDescent="0.25">
      <c r="M23269" t="s">
        <v>214</v>
      </c>
    </row>
    <row r="23270" spans="13:13" x14ac:dyDescent="0.25">
      <c r="M23270" t="s">
        <v>215</v>
      </c>
    </row>
    <row r="23271" spans="13:13" x14ac:dyDescent="0.25">
      <c r="M23271" t="s">
        <v>216</v>
      </c>
    </row>
    <row r="23272" spans="13:13" x14ac:dyDescent="0.25">
      <c r="M23272" t="s">
        <v>217</v>
      </c>
    </row>
    <row r="23273" spans="13:13" x14ac:dyDescent="0.25">
      <c r="M23273" t="s">
        <v>218</v>
      </c>
    </row>
    <row r="23274" spans="13:13" x14ac:dyDescent="0.25">
      <c r="M23274" t="s">
        <v>219</v>
      </c>
    </row>
    <row r="23275" spans="13:13" x14ac:dyDescent="0.25">
      <c r="M23275" t="s">
        <v>220</v>
      </c>
    </row>
    <row r="23279" spans="13:13" x14ac:dyDescent="0.25">
      <c r="M23279" t="s">
        <v>221</v>
      </c>
    </row>
    <row r="23280" spans="13:13" x14ac:dyDescent="0.25">
      <c r="M23280" t="s">
        <v>222</v>
      </c>
    </row>
    <row r="23281" spans="13:13" x14ac:dyDescent="0.25">
      <c r="M23281" t="s">
        <v>223</v>
      </c>
    </row>
    <row r="23282" spans="13:13" x14ac:dyDescent="0.25">
      <c r="M23282" t="s">
        <v>224</v>
      </c>
    </row>
    <row r="23283" spans="13:13" x14ac:dyDescent="0.25">
      <c r="M23283" t="s">
        <v>225</v>
      </c>
    </row>
    <row r="23284" spans="13:13" x14ac:dyDescent="0.25">
      <c r="M23284" t="s">
        <v>226</v>
      </c>
    </row>
    <row r="23285" spans="13:13" x14ac:dyDescent="0.25">
      <c r="M23285" t="s">
        <v>227</v>
      </c>
    </row>
    <row r="23286" spans="13:13" x14ac:dyDescent="0.25">
      <c r="M23286" t="s">
        <v>228</v>
      </c>
    </row>
    <row r="23287" spans="13:13" x14ac:dyDescent="0.25">
      <c r="M23287" t="s">
        <v>229</v>
      </c>
    </row>
    <row r="23288" spans="13:13" x14ac:dyDescent="0.25">
      <c r="M23288" t="s">
        <v>230</v>
      </c>
    </row>
    <row r="23289" spans="13:13" x14ac:dyDescent="0.25">
      <c r="M23289" t="s">
        <v>231</v>
      </c>
    </row>
    <row r="23290" spans="13:13" x14ac:dyDescent="0.25">
      <c r="M23290" t="s">
        <v>232</v>
      </c>
    </row>
    <row r="23291" spans="13:13" x14ac:dyDescent="0.25">
      <c r="M23291" t="s">
        <v>233</v>
      </c>
    </row>
    <row r="23292" spans="13:13" x14ac:dyDescent="0.25">
      <c r="M23292" t="s">
        <v>234</v>
      </c>
    </row>
    <row r="23293" spans="13:13" x14ac:dyDescent="0.25">
      <c r="M23293" t="s">
        <v>235</v>
      </c>
    </row>
    <row r="23294" spans="13:13" x14ac:dyDescent="0.25">
      <c r="M23294" t="s">
        <v>236</v>
      </c>
    </row>
    <row r="23295" spans="13:13" x14ac:dyDescent="0.25">
      <c r="M23295" t="s">
        <v>237</v>
      </c>
    </row>
    <row r="23296" spans="13:13" x14ac:dyDescent="0.25">
      <c r="M23296" t="s">
        <v>238</v>
      </c>
    </row>
    <row r="23297" spans="13:13" x14ac:dyDescent="0.25">
      <c r="M23297" t="s">
        <v>239</v>
      </c>
    </row>
    <row r="23298" spans="13:13" x14ac:dyDescent="0.25">
      <c r="M23298" t="s">
        <v>240</v>
      </c>
    </row>
    <row r="23299" spans="13:13" x14ac:dyDescent="0.25">
      <c r="M23299" t="s">
        <v>241</v>
      </c>
    </row>
    <row r="23300" spans="13:13" x14ac:dyDescent="0.25">
      <c r="M23300" t="s">
        <v>242</v>
      </c>
    </row>
    <row r="23301" spans="13:13" x14ac:dyDescent="0.25">
      <c r="M23301" t="s">
        <v>243</v>
      </c>
    </row>
    <row r="23302" spans="13:13" x14ac:dyDescent="0.25">
      <c r="M23302" t="s">
        <v>244</v>
      </c>
    </row>
    <row r="23303" spans="13:13" x14ac:dyDescent="0.25">
      <c r="M23303" t="s">
        <v>245</v>
      </c>
    </row>
    <row r="23304" spans="13:13" x14ac:dyDescent="0.25">
      <c r="M23304" t="s">
        <v>246</v>
      </c>
    </row>
    <row r="23305" spans="13:13" x14ac:dyDescent="0.25">
      <c r="M23305" t="s">
        <v>247</v>
      </c>
    </row>
    <row r="23306" spans="13:13" x14ac:dyDescent="0.25">
      <c r="M23306" t="s">
        <v>248</v>
      </c>
    </row>
    <row r="23307" spans="13:13" x14ac:dyDescent="0.25">
      <c r="M23307" t="s">
        <v>249</v>
      </c>
    </row>
    <row r="23308" spans="13:13" x14ac:dyDescent="0.25">
      <c r="M23308" t="s">
        <v>250</v>
      </c>
    </row>
    <row r="23309" spans="13:13" x14ac:dyDescent="0.25">
      <c r="M23309" t="s">
        <v>251</v>
      </c>
    </row>
    <row r="23310" spans="13:13" x14ac:dyDescent="0.25">
      <c r="M23310" t="s">
        <v>252</v>
      </c>
    </row>
    <row r="23311" spans="13:13" x14ac:dyDescent="0.25">
      <c r="M23311" t="s">
        <v>253</v>
      </c>
    </row>
    <row r="23321" spans="13:13" x14ac:dyDescent="0.25">
      <c r="M23321" t="s">
        <v>254</v>
      </c>
    </row>
    <row r="23322" spans="13:13" x14ac:dyDescent="0.25">
      <c r="M23322" t="s">
        <v>83</v>
      </c>
    </row>
    <row r="23336" spans="13:13" x14ac:dyDescent="0.25">
      <c r="M23336" t="s">
        <v>255</v>
      </c>
    </row>
    <row r="23337" spans="13:13" x14ac:dyDescent="0.25">
      <c r="M23337" t="s">
        <v>256</v>
      </c>
    </row>
    <row r="23338" spans="13:13" x14ac:dyDescent="0.25">
      <c r="M23338" t="s">
        <v>257</v>
      </c>
    </row>
    <row r="23339" spans="13:13" x14ac:dyDescent="0.25">
      <c r="M23339" t="s">
        <v>258</v>
      </c>
    </row>
    <row r="23340" spans="13:13" x14ac:dyDescent="0.25">
      <c r="M23340" t="s">
        <v>259</v>
      </c>
    </row>
    <row r="23341" spans="13:13" x14ac:dyDescent="0.25">
      <c r="M23341" t="s">
        <v>260</v>
      </c>
    </row>
    <row r="23342" spans="13:13" x14ac:dyDescent="0.25">
      <c r="M23342" t="s">
        <v>261</v>
      </c>
    </row>
    <row r="23343" spans="13:13" x14ac:dyDescent="0.25">
      <c r="M23343" t="s">
        <v>262</v>
      </c>
    </row>
    <row r="23344" spans="13:13" x14ac:dyDescent="0.25">
      <c r="M23344" t="s">
        <v>263</v>
      </c>
    </row>
    <row r="23395" spans="13:13" x14ac:dyDescent="0.25">
      <c r="M23395" t="s">
        <v>264</v>
      </c>
    </row>
    <row r="23396" spans="13:13" x14ac:dyDescent="0.25">
      <c r="M23396" t="s">
        <v>265</v>
      </c>
    </row>
    <row r="23397" spans="13:13" x14ac:dyDescent="0.25">
      <c r="M23397" t="s">
        <v>266</v>
      </c>
    </row>
    <row r="23446" spans="13:13" x14ac:dyDescent="0.25">
      <c r="M23446" t="s">
        <v>267</v>
      </c>
    </row>
    <row r="23447" spans="13:13" x14ac:dyDescent="0.25">
      <c r="M23447" t="s">
        <v>268</v>
      </c>
    </row>
    <row r="23448" spans="13:13" x14ac:dyDescent="0.25">
      <c r="M23448" t="s">
        <v>269</v>
      </c>
    </row>
    <row r="23449" spans="13:13" x14ac:dyDescent="0.25">
      <c r="M23449" t="s">
        <v>270</v>
      </c>
    </row>
    <row r="23450" spans="13:13" x14ac:dyDescent="0.25">
      <c r="M23450" t="s">
        <v>271</v>
      </c>
    </row>
    <row r="23451" spans="13:13" x14ac:dyDescent="0.25">
      <c r="M23451" t="s">
        <v>272</v>
      </c>
    </row>
    <row r="23472" spans="13:13" x14ac:dyDescent="0.25">
      <c r="M23472" t="s">
        <v>273</v>
      </c>
    </row>
    <row r="23473" spans="13:13" x14ac:dyDescent="0.25">
      <c r="M23473" t="s">
        <v>274</v>
      </c>
    </row>
    <row r="23476" spans="13:13" x14ac:dyDescent="0.25">
      <c r="M23476" t="s">
        <v>275</v>
      </c>
    </row>
    <row r="23477" spans="13:13" x14ac:dyDescent="0.25">
      <c r="M23477" t="s">
        <v>276</v>
      </c>
    </row>
    <row r="23478" spans="13:13" x14ac:dyDescent="0.25">
      <c r="M23478" t="s">
        <v>277</v>
      </c>
    </row>
    <row r="23483" spans="13:13" x14ac:dyDescent="0.25">
      <c r="M23483" t="s">
        <v>278</v>
      </c>
    </row>
    <row r="23484" spans="13:13" x14ac:dyDescent="0.25">
      <c r="M23484" t="s">
        <v>279</v>
      </c>
    </row>
    <row r="23500" spans="13:13" x14ac:dyDescent="0.25">
      <c r="M23500" t="s">
        <v>203</v>
      </c>
    </row>
    <row r="23501" spans="13:13" x14ac:dyDescent="0.25">
      <c r="M23501" t="s">
        <v>204</v>
      </c>
    </row>
    <row r="23502" spans="13:13" x14ac:dyDescent="0.25">
      <c r="M23502" t="s">
        <v>205</v>
      </c>
    </row>
    <row r="23503" spans="13:13" x14ac:dyDescent="0.25">
      <c r="M23503" t="s">
        <v>206</v>
      </c>
    </row>
    <row r="23504" spans="13:13" x14ac:dyDescent="0.25">
      <c r="M23504" t="s">
        <v>207</v>
      </c>
    </row>
    <row r="23505" spans="13:13" x14ac:dyDescent="0.25">
      <c r="M23505" t="s">
        <v>208</v>
      </c>
    </row>
    <row r="23506" spans="13:13" x14ac:dyDescent="0.25">
      <c r="M23506" t="s">
        <v>209</v>
      </c>
    </row>
    <row r="23507" spans="13:13" x14ac:dyDescent="0.25">
      <c r="M23507" t="s">
        <v>210</v>
      </c>
    </row>
    <row r="23527" spans="13:13" x14ac:dyDescent="0.25">
      <c r="M23527" t="s">
        <v>211</v>
      </c>
    </row>
    <row r="23528" spans="13:13" x14ac:dyDescent="0.25">
      <c r="M23528" t="s">
        <v>212</v>
      </c>
    </row>
    <row r="23529" spans="13:13" x14ac:dyDescent="0.25">
      <c r="M23529" t="s">
        <v>213</v>
      </c>
    </row>
    <row r="23530" spans="13:13" x14ac:dyDescent="0.25">
      <c r="M23530" t="s">
        <v>214</v>
      </c>
    </row>
    <row r="23531" spans="13:13" x14ac:dyDescent="0.25">
      <c r="M23531" t="s">
        <v>215</v>
      </c>
    </row>
    <row r="23532" spans="13:13" x14ac:dyDescent="0.25">
      <c r="M23532" t="s">
        <v>216</v>
      </c>
    </row>
    <row r="23533" spans="13:13" x14ac:dyDescent="0.25">
      <c r="M23533" t="s">
        <v>217</v>
      </c>
    </row>
    <row r="23534" spans="13:13" x14ac:dyDescent="0.25">
      <c r="M23534" t="s">
        <v>218</v>
      </c>
    </row>
    <row r="23535" spans="13:13" x14ac:dyDescent="0.25">
      <c r="M23535" t="s">
        <v>219</v>
      </c>
    </row>
    <row r="23536" spans="13:13" x14ac:dyDescent="0.25">
      <c r="M23536" t="s">
        <v>220</v>
      </c>
    </row>
    <row r="23540" spans="13:13" x14ac:dyDescent="0.25">
      <c r="M23540" t="s">
        <v>221</v>
      </c>
    </row>
    <row r="23541" spans="13:13" x14ac:dyDescent="0.25">
      <c r="M23541" t="s">
        <v>222</v>
      </c>
    </row>
    <row r="23542" spans="13:13" x14ac:dyDescent="0.25">
      <c r="M23542" t="s">
        <v>223</v>
      </c>
    </row>
    <row r="23543" spans="13:13" x14ac:dyDescent="0.25">
      <c r="M23543" t="s">
        <v>224</v>
      </c>
    </row>
    <row r="23544" spans="13:13" x14ac:dyDescent="0.25">
      <c r="M23544" t="s">
        <v>225</v>
      </c>
    </row>
    <row r="23545" spans="13:13" x14ac:dyDescent="0.25">
      <c r="M23545" t="s">
        <v>226</v>
      </c>
    </row>
    <row r="23546" spans="13:13" x14ac:dyDescent="0.25">
      <c r="M23546" t="s">
        <v>227</v>
      </c>
    </row>
    <row r="23547" spans="13:13" x14ac:dyDescent="0.25">
      <c r="M23547" t="s">
        <v>228</v>
      </c>
    </row>
    <row r="23548" spans="13:13" x14ac:dyDescent="0.25">
      <c r="M23548" t="s">
        <v>229</v>
      </c>
    </row>
    <row r="23549" spans="13:13" x14ac:dyDescent="0.25">
      <c r="M23549" t="s">
        <v>230</v>
      </c>
    </row>
    <row r="23550" spans="13:13" x14ac:dyDescent="0.25">
      <c r="M23550" t="s">
        <v>231</v>
      </c>
    </row>
    <row r="23551" spans="13:13" x14ac:dyDescent="0.25">
      <c r="M23551" t="s">
        <v>232</v>
      </c>
    </row>
    <row r="23552" spans="13:13" x14ac:dyDescent="0.25">
      <c r="M23552" t="s">
        <v>233</v>
      </c>
    </row>
    <row r="23553" spans="13:13" x14ac:dyDescent="0.25">
      <c r="M23553" t="s">
        <v>234</v>
      </c>
    </row>
    <row r="23554" spans="13:13" x14ac:dyDescent="0.25">
      <c r="M23554" t="s">
        <v>235</v>
      </c>
    </row>
    <row r="23555" spans="13:13" x14ac:dyDescent="0.25">
      <c r="M23555" t="s">
        <v>236</v>
      </c>
    </row>
    <row r="23556" spans="13:13" x14ac:dyDescent="0.25">
      <c r="M23556" t="s">
        <v>237</v>
      </c>
    </row>
    <row r="23557" spans="13:13" x14ac:dyDescent="0.25">
      <c r="M23557" t="s">
        <v>238</v>
      </c>
    </row>
    <row r="23558" spans="13:13" x14ac:dyDescent="0.25">
      <c r="M23558" t="s">
        <v>239</v>
      </c>
    </row>
    <row r="23559" spans="13:13" x14ac:dyDescent="0.25">
      <c r="M23559" t="s">
        <v>240</v>
      </c>
    </row>
    <row r="23560" spans="13:13" x14ac:dyDescent="0.25">
      <c r="M23560" t="s">
        <v>241</v>
      </c>
    </row>
    <row r="23561" spans="13:13" x14ac:dyDescent="0.25">
      <c r="M23561" t="s">
        <v>242</v>
      </c>
    </row>
    <row r="23562" spans="13:13" x14ac:dyDescent="0.25">
      <c r="M23562" t="s">
        <v>243</v>
      </c>
    </row>
    <row r="23563" spans="13:13" x14ac:dyDescent="0.25">
      <c r="M23563" t="s">
        <v>244</v>
      </c>
    </row>
    <row r="23564" spans="13:13" x14ac:dyDescent="0.25">
      <c r="M23564" t="s">
        <v>245</v>
      </c>
    </row>
    <row r="23565" spans="13:13" x14ac:dyDescent="0.25">
      <c r="M23565" t="s">
        <v>246</v>
      </c>
    </row>
    <row r="23566" spans="13:13" x14ac:dyDescent="0.25">
      <c r="M23566" t="s">
        <v>247</v>
      </c>
    </row>
    <row r="23567" spans="13:13" x14ac:dyDescent="0.25">
      <c r="M23567" t="s">
        <v>248</v>
      </c>
    </row>
    <row r="23568" spans="13:13" x14ac:dyDescent="0.25">
      <c r="M23568" t="s">
        <v>249</v>
      </c>
    </row>
    <row r="23569" spans="13:13" x14ac:dyDescent="0.25">
      <c r="M23569" t="s">
        <v>250</v>
      </c>
    </row>
    <row r="23570" spans="13:13" x14ac:dyDescent="0.25">
      <c r="M23570" t="s">
        <v>251</v>
      </c>
    </row>
    <row r="23571" spans="13:13" x14ac:dyDescent="0.25">
      <c r="M23571" t="s">
        <v>252</v>
      </c>
    </row>
    <row r="23572" spans="13:13" x14ac:dyDescent="0.25">
      <c r="M23572" t="s">
        <v>253</v>
      </c>
    </row>
    <row r="23582" spans="13:13" x14ac:dyDescent="0.25">
      <c r="M23582" t="s">
        <v>254</v>
      </c>
    </row>
    <row r="23583" spans="13:13" x14ac:dyDescent="0.25">
      <c r="M23583" t="s">
        <v>83</v>
      </c>
    </row>
    <row r="23597" spans="13:13" x14ac:dyDescent="0.25">
      <c r="M23597" t="s">
        <v>255</v>
      </c>
    </row>
    <row r="23598" spans="13:13" x14ac:dyDescent="0.25">
      <c r="M23598" t="s">
        <v>256</v>
      </c>
    </row>
    <row r="23599" spans="13:13" x14ac:dyDescent="0.25">
      <c r="M23599" t="s">
        <v>257</v>
      </c>
    </row>
    <row r="23600" spans="13:13" x14ac:dyDescent="0.25">
      <c r="M23600" t="s">
        <v>258</v>
      </c>
    </row>
    <row r="23601" spans="13:13" x14ac:dyDescent="0.25">
      <c r="M23601" t="s">
        <v>259</v>
      </c>
    </row>
    <row r="23602" spans="13:13" x14ac:dyDescent="0.25">
      <c r="M23602" t="s">
        <v>260</v>
      </c>
    </row>
    <row r="23603" spans="13:13" x14ac:dyDescent="0.25">
      <c r="M23603" t="s">
        <v>261</v>
      </c>
    </row>
    <row r="23604" spans="13:13" x14ac:dyDescent="0.25">
      <c r="M23604" t="s">
        <v>262</v>
      </c>
    </row>
    <row r="23605" spans="13:13" x14ac:dyDescent="0.25">
      <c r="M23605" t="s">
        <v>263</v>
      </c>
    </row>
    <row r="23656" spans="13:13" x14ac:dyDescent="0.25">
      <c r="M23656" t="s">
        <v>264</v>
      </c>
    </row>
    <row r="23657" spans="13:13" x14ac:dyDescent="0.25">
      <c r="M23657" t="s">
        <v>265</v>
      </c>
    </row>
    <row r="23658" spans="13:13" x14ac:dyDescent="0.25">
      <c r="M23658" t="s">
        <v>266</v>
      </c>
    </row>
    <row r="23707" spans="13:13" x14ac:dyDescent="0.25">
      <c r="M23707" t="s">
        <v>267</v>
      </c>
    </row>
    <row r="23708" spans="13:13" x14ac:dyDescent="0.25">
      <c r="M23708" t="s">
        <v>268</v>
      </c>
    </row>
    <row r="23709" spans="13:13" x14ac:dyDescent="0.25">
      <c r="M23709" t="s">
        <v>269</v>
      </c>
    </row>
    <row r="23710" spans="13:13" x14ac:dyDescent="0.25">
      <c r="M23710" t="s">
        <v>270</v>
      </c>
    </row>
    <row r="23711" spans="13:13" x14ac:dyDescent="0.25">
      <c r="M23711" t="s">
        <v>271</v>
      </c>
    </row>
    <row r="23712" spans="13:13" x14ac:dyDescent="0.25">
      <c r="M23712" t="s">
        <v>272</v>
      </c>
    </row>
    <row r="23733" spans="13:13" x14ac:dyDescent="0.25">
      <c r="M23733" t="s">
        <v>273</v>
      </c>
    </row>
    <row r="23734" spans="13:13" x14ac:dyDescent="0.25">
      <c r="M23734" t="s">
        <v>274</v>
      </c>
    </row>
    <row r="23737" spans="13:13" x14ac:dyDescent="0.25">
      <c r="M23737" t="s">
        <v>275</v>
      </c>
    </row>
    <row r="23738" spans="13:13" x14ac:dyDescent="0.25">
      <c r="M23738" t="s">
        <v>276</v>
      </c>
    </row>
    <row r="23739" spans="13:13" x14ac:dyDescent="0.25">
      <c r="M23739" t="s">
        <v>277</v>
      </c>
    </row>
    <row r="23744" spans="13:13" x14ac:dyDescent="0.25">
      <c r="M23744" t="s">
        <v>278</v>
      </c>
    </row>
    <row r="23745" spans="13:13" x14ac:dyDescent="0.25">
      <c r="M23745" t="s">
        <v>279</v>
      </c>
    </row>
    <row r="23761" spans="13:13" x14ac:dyDescent="0.25">
      <c r="M23761" t="s">
        <v>203</v>
      </c>
    </row>
    <row r="23762" spans="13:13" x14ac:dyDescent="0.25">
      <c r="M23762" t="s">
        <v>204</v>
      </c>
    </row>
    <row r="23763" spans="13:13" x14ac:dyDescent="0.25">
      <c r="M23763" t="s">
        <v>205</v>
      </c>
    </row>
    <row r="23764" spans="13:13" x14ac:dyDescent="0.25">
      <c r="M23764" t="s">
        <v>206</v>
      </c>
    </row>
    <row r="23765" spans="13:13" x14ac:dyDescent="0.25">
      <c r="M23765" t="s">
        <v>207</v>
      </c>
    </row>
    <row r="23766" spans="13:13" x14ac:dyDescent="0.25">
      <c r="M23766" t="s">
        <v>208</v>
      </c>
    </row>
    <row r="23767" spans="13:13" x14ac:dyDescent="0.25">
      <c r="M23767" t="s">
        <v>209</v>
      </c>
    </row>
    <row r="23768" spans="13:13" x14ac:dyDescent="0.25">
      <c r="M23768" t="s">
        <v>210</v>
      </c>
    </row>
    <row r="23788" spans="13:13" x14ac:dyDescent="0.25">
      <c r="M23788" t="s">
        <v>211</v>
      </c>
    </row>
    <row r="23789" spans="13:13" x14ac:dyDescent="0.25">
      <c r="M23789" t="s">
        <v>212</v>
      </c>
    </row>
    <row r="23790" spans="13:13" x14ac:dyDescent="0.25">
      <c r="M23790" t="s">
        <v>213</v>
      </c>
    </row>
    <row r="23791" spans="13:13" x14ac:dyDescent="0.25">
      <c r="M23791" t="s">
        <v>214</v>
      </c>
    </row>
    <row r="23792" spans="13:13" x14ac:dyDescent="0.25">
      <c r="M23792" t="s">
        <v>215</v>
      </c>
    </row>
    <row r="23793" spans="13:13" x14ac:dyDescent="0.25">
      <c r="M23793" t="s">
        <v>216</v>
      </c>
    </row>
    <row r="23794" spans="13:13" x14ac:dyDescent="0.25">
      <c r="M23794" t="s">
        <v>217</v>
      </c>
    </row>
    <row r="23795" spans="13:13" x14ac:dyDescent="0.25">
      <c r="M23795" t="s">
        <v>218</v>
      </c>
    </row>
    <row r="23796" spans="13:13" x14ac:dyDescent="0.25">
      <c r="M23796" t="s">
        <v>219</v>
      </c>
    </row>
    <row r="23797" spans="13:13" x14ac:dyDescent="0.25">
      <c r="M23797" t="s">
        <v>220</v>
      </c>
    </row>
    <row r="23801" spans="13:13" x14ac:dyDescent="0.25">
      <c r="M23801" t="s">
        <v>221</v>
      </c>
    </row>
    <row r="23802" spans="13:13" x14ac:dyDescent="0.25">
      <c r="M23802" t="s">
        <v>222</v>
      </c>
    </row>
    <row r="23803" spans="13:13" x14ac:dyDescent="0.25">
      <c r="M23803" t="s">
        <v>223</v>
      </c>
    </row>
    <row r="23804" spans="13:13" x14ac:dyDescent="0.25">
      <c r="M23804" t="s">
        <v>224</v>
      </c>
    </row>
    <row r="23805" spans="13:13" x14ac:dyDescent="0.25">
      <c r="M23805" t="s">
        <v>225</v>
      </c>
    </row>
    <row r="23806" spans="13:13" x14ac:dyDescent="0.25">
      <c r="M23806" t="s">
        <v>226</v>
      </c>
    </row>
    <row r="23807" spans="13:13" x14ac:dyDescent="0.25">
      <c r="M23807" t="s">
        <v>227</v>
      </c>
    </row>
    <row r="23808" spans="13:13" x14ac:dyDescent="0.25">
      <c r="M23808" t="s">
        <v>228</v>
      </c>
    </row>
    <row r="23809" spans="13:13" x14ac:dyDescent="0.25">
      <c r="M23809" t="s">
        <v>229</v>
      </c>
    </row>
    <row r="23810" spans="13:13" x14ac:dyDescent="0.25">
      <c r="M23810" t="s">
        <v>230</v>
      </c>
    </row>
    <row r="23811" spans="13:13" x14ac:dyDescent="0.25">
      <c r="M23811" t="s">
        <v>231</v>
      </c>
    </row>
    <row r="23812" spans="13:13" x14ac:dyDescent="0.25">
      <c r="M23812" t="s">
        <v>232</v>
      </c>
    </row>
    <row r="23813" spans="13:13" x14ac:dyDescent="0.25">
      <c r="M23813" t="s">
        <v>233</v>
      </c>
    </row>
    <row r="23814" spans="13:13" x14ac:dyDescent="0.25">
      <c r="M23814" t="s">
        <v>234</v>
      </c>
    </row>
    <row r="23815" spans="13:13" x14ac:dyDescent="0.25">
      <c r="M23815" t="s">
        <v>235</v>
      </c>
    </row>
    <row r="23816" spans="13:13" x14ac:dyDescent="0.25">
      <c r="M23816" t="s">
        <v>236</v>
      </c>
    </row>
    <row r="23817" spans="13:13" x14ac:dyDescent="0.25">
      <c r="M23817" t="s">
        <v>237</v>
      </c>
    </row>
    <row r="23818" spans="13:13" x14ac:dyDescent="0.25">
      <c r="M23818" t="s">
        <v>238</v>
      </c>
    </row>
    <row r="23819" spans="13:13" x14ac:dyDescent="0.25">
      <c r="M23819" t="s">
        <v>239</v>
      </c>
    </row>
    <row r="23820" spans="13:13" x14ac:dyDescent="0.25">
      <c r="M23820" t="s">
        <v>240</v>
      </c>
    </row>
    <row r="23821" spans="13:13" x14ac:dyDescent="0.25">
      <c r="M23821" t="s">
        <v>241</v>
      </c>
    </row>
    <row r="23822" spans="13:13" x14ac:dyDescent="0.25">
      <c r="M23822" t="s">
        <v>242</v>
      </c>
    </row>
    <row r="23823" spans="13:13" x14ac:dyDescent="0.25">
      <c r="M23823" t="s">
        <v>243</v>
      </c>
    </row>
    <row r="23824" spans="13:13" x14ac:dyDescent="0.25">
      <c r="M23824" t="s">
        <v>244</v>
      </c>
    </row>
    <row r="23825" spans="13:13" x14ac:dyDescent="0.25">
      <c r="M23825" t="s">
        <v>245</v>
      </c>
    </row>
    <row r="23826" spans="13:13" x14ac:dyDescent="0.25">
      <c r="M23826" t="s">
        <v>246</v>
      </c>
    </row>
    <row r="23827" spans="13:13" x14ac:dyDescent="0.25">
      <c r="M23827" t="s">
        <v>247</v>
      </c>
    </row>
    <row r="23828" spans="13:13" x14ac:dyDescent="0.25">
      <c r="M23828" t="s">
        <v>248</v>
      </c>
    </row>
    <row r="23829" spans="13:13" x14ac:dyDescent="0.25">
      <c r="M23829" t="s">
        <v>249</v>
      </c>
    </row>
    <row r="23830" spans="13:13" x14ac:dyDescent="0.25">
      <c r="M23830" t="s">
        <v>250</v>
      </c>
    </row>
    <row r="23831" spans="13:13" x14ac:dyDescent="0.25">
      <c r="M23831" t="s">
        <v>251</v>
      </c>
    </row>
    <row r="23832" spans="13:13" x14ac:dyDescent="0.25">
      <c r="M23832" t="s">
        <v>252</v>
      </c>
    </row>
    <row r="23833" spans="13:13" x14ac:dyDescent="0.25">
      <c r="M23833" t="s">
        <v>253</v>
      </c>
    </row>
    <row r="23843" spans="13:13" x14ac:dyDescent="0.25">
      <c r="M23843" t="s">
        <v>254</v>
      </c>
    </row>
    <row r="23844" spans="13:13" x14ac:dyDescent="0.25">
      <c r="M23844" t="s">
        <v>83</v>
      </c>
    </row>
    <row r="23858" spans="13:13" x14ac:dyDescent="0.25">
      <c r="M23858" t="s">
        <v>255</v>
      </c>
    </row>
    <row r="23859" spans="13:13" x14ac:dyDescent="0.25">
      <c r="M23859" t="s">
        <v>256</v>
      </c>
    </row>
    <row r="23860" spans="13:13" x14ac:dyDescent="0.25">
      <c r="M23860" t="s">
        <v>257</v>
      </c>
    </row>
    <row r="23861" spans="13:13" x14ac:dyDescent="0.25">
      <c r="M23861" t="s">
        <v>258</v>
      </c>
    </row>
    <row r="23862" spans="13:13" x14ac:dyDescent="0.25">
      <c r="M23862" t="s">
        <v>259</v>
      </c>
    </row>
    <row r="23863" spans="13:13" x14ac:dyDescent="0.25">
      <c r="M23863" t="s">
        <v>260</v>
      </c>
    </row>
    <row r="23864" spans="13:13" x14ac:dyDescent="0.25">
      <c r="M23864" t="s">
        <v>261</v>
      </c>
    </row>
    <row r="23865" spans="13:13" x14ac:dyDescent="0.25">
      <c r="M23865" t="s">
        <v>262</v>
      </c>
    </row>
    <row r="23866" spans="13:13" x14ac:dyDescent="0.25">
      <c r="M23866" t="s">
        <v>263</v>
      </c>
    </row>
    <row r="23917" spans="13:13" x14ac:dyDescent="0.25">
      <c r="M23917" t="s">
        <v>264</v>
      </c>
    </row>
    <row r="23918" spans="13:13" x14ac:dyDescent="0.25">
      <c r="M23918" t="s">
        <v>265</v>
      </c>
    </row>
    <row r="23919" spans="13:13" x14ac:dyDescent="0.25">
      <c r="M23919" t="s">
        <v>266</v>
      </c>
    </row>
    <row r="23968" spans="13:13" x14ac:dyDescent="0.25">
      <c r="M23968" t="s">
        <v>267</v>
      </c>
    </row>
    <row r="23969" spans="13:13" x14ac:dyDescent="0.25">
      <c r="M23969" t="s">
        <v>268</v>
      </c>
    </row>
    <row r="23970" spans="13:13" x14ac:dyDescent="0.25">
      <c r="M23970" t="s">
        <v>269</v>
      </c>
    </row>
    <row r="23971" spans="13:13" x14ac:dyDescent="0.25">
      <c r="M23971" t="s">
        <v>270</v>
      </c>
    </row>
    <row r="23972" spans="13:13" x14ac:dyDescent="0.25">
      <c r="M23972" t="s">
        <v>271</v>
      </c>
    </row>
    <row r="23973" spans="13:13" x14ac:dyDescent="0.25">
      <c r="M23973" t="s">
        <v>272</v>
      </c>
    </row>
    <row r="23994" spans="13:13" x14ac:dyDescent="0.25">
      <c r="M23994" t="s">
        <v>273</v>
      </c>
    </row>
    <row r="23995" spans="13:13" x14ac:dyDescent="0.25">
      <c r="M23995" t="s">
        <v>274</v>
      </c>
    </row>
    <row r="23998" spans="13:13" x14ac:dyDescent="0.25">
      <c r="M23998" t="s">
        <v>275</v>
      </c>
    </row>
    <row r="23999" spans="13:13" x14ac:dyDescent="0.25">
      <c r="M23999" t="s">
        <v>276</v>
      </c>
    </row>
    <row r="24000" spans="13:13" x14ac:dyDescent="0.25">
      <c r="M24000" t="s">
        <v>277</v>
      </c>
    </row>
    <row r="24005" spans="13:13" x14ac:dyDescent="0.25">
      <c r="M24005" t="s">
        <v>278</v>
      </c>
    </row>
    <row r="24006" spans="13:13" x14ac:dyDescent="0.25">
      <c r="M24006" t="s">
        <v>279</v>
      </c>
    </row>
    <row r="24022" spans="13:13" x14ac:dyDescent="0.25">
      <c r="M24022" t="s">
        <v>203</v>
      </c>
    </row>
    <row r="24023" spans="13:13" x14ac:dyDescent="0.25">
      <c r="M24023" t="s">
        <v>204</v>
      </c>
    </row>
    <row r="24024" spans="13:13" x14ac:dyDescent="0.25">
      <c r="M24024" t="s">
        <v>205</v>
      </c>
    </row>
    <row r="24025" spans="13:13" x14ac:dyDescent="0.25">
      <c r="M24025" t="s">
        <v>206</v>
      </c>
    </row>
    <row r="24026" spans="13:13" x14ac:dyDescent="0.25">
      <c r="M24026" t="s">
        <v>207</v>
      </c>
    </row>
    <row r="24027" spans="13:13" x14ac:dyDescent="0.25">
      <c r="M24027" t="s">
        <v>208</v>
      </c>
    </row>
    <row r="24028" spans="13:13" x14ac:dyDescent="0.25">
      <c r="M24028" t="s">
        <v>209</v>
      </c>
    </row>
    <row r="24029" spans="13:13" x14ac:dyDescent="0.25">
      <c r="M24029" t="s">
        <v>210</v>
      </c>
    </row>
    <row r="24049" spans="13:13" x14ac:dyDescent="0.25">
      <c r="M24049" t="s">
        <v>211</v>
      </c>
    </row>
    <row r="24050" spans="13:13" x14ac:dyDescent="0.25">
      <c r="M24050" t="s">
        <v>212</v>
      </c>
    </row>
    <row r="24051" spans="13:13" x14ac:dyDescent="0.25">
      <c r="M24051" t="s">
        <v>213</v>
      </c>
    </row>
    <row r="24052" spans="13:13" x14ac:dyDescent="0.25">
      <c r="M24052" t="s">
        <v>214</v>
      </c>
    </row>
    <row r="24053" spans="13:13" x14ac:dyDescent="0.25">
      <c r="M24053" t="s">
        <v>215</v>
      </c>
    </row>
    <row r="24054" spans="13:13" x14ac:dyDescent="0.25">
      <c r="M24054" t="s">
        <v>216</v>
      </c>
    </row>
    <row r="24055" spans="13:13" x14ac:dyDescent="0.25">
      <c r="M24055" t="s">
        <v>217</v>
      </c>
    </row>
    <row r="24056" spans="13:13" x14ac:dyDescent="0.25">
      <c r="M24056" t="s">
        <v>218</v>
      </c>
    </row>
    <row r="24057" spans="13:13" x14ac:dyDescent="0.25">
      <c r="M24057" t="s">
        <v>219</v>
      </c>
    </row>
    <row r="24058" spans="13:13" x14ac:dyDescent="0.25">
      <c r="M24058" t="s">
        <v>220</v>
      </c>
    </row>
    <row r="24062" spans="13:13" x14ac:dyDescent="0.25">
      <c r="M24062" t="s">
        <v>221</v>
      </c>
    </row>
    <row r="24063" spans="13:13" x14ac:dyDescent="0.25">
      <c r="M24063" t="s">
        <v>222</v>
      </c>
    </row>
    <row r="24064" spans="13:13" x14ac:dyDescent="0.25">
      <c r="M24064" t="s">
        <v>223</v>
      </c>
    </row>
    <row r="24065" spans="13:13" x14ac:dyDescent="0.25">
      <c r="M24065" t="s">
        <v>224</v>
      </c>
    </row>
    <row r="24066" spans="13:13" x14ac:dyDescent="0.25">
      <c r="M24066" t="s">
        <v>225</v>
      </c>
    </row>
    <row r="24067" spans="13:13" x14ac:dyDescent="0.25">
      <c r="M24067" t="s">
        <v>226</v>
      </c>
    </row>
    <row r="24068" spans="13:13" x14ac:dyDescent="0.25">
      <c r="M24068" t="s">
        <v>227</v>
      </c>
    </row>
    <row r="24069" spans="13:13" x14ac:dyDescent="0.25">
      <c r="M24069" t="s">
        <v>228</v>
      </c>
    </row>
    <row r="24070" spans="13:13" x14ac:dyDescent="0.25">
      <c r="M24070" t="s">
        <v>229</v>
      </c>
    </row>
    <row r="24071" spans="13:13" x14ac:dyDescent="0.25">
      <c r="M24071" t="s">
        <v>230</v>
      </c>
    </row>
    <row r="24072" spans="13:13" x14ac:dyDescent="0.25">
      <c r="M24072" t="s">
        <v>231</v>
      </c>
    </row>
    <row r="24073" spans="13:13" x14ac:dyDescent="0.25">
      <c r="M24073" t="s">
        <v>232</v>
      </c>
    </row>
    <row r="24074" spans="13:13" x14ac:dyDescent="0.25">
      <c r="M24074" t="s">
        <v>233</v>
      </c>
    </row>
    <row r="24075" spans="13:13" x14ac:dyDescent="0.25">
      <c r="M24075" t="s">
        <v>234</v>
      </c>
    </row>
    <row r="24076" spans="13:13" x14ac:dyDescent="0.25">
      <c r="M24076" t="s">
        <v>235</v>
      </c>
    </row>
    <row r="24077" spans="13:13" x14ac:dyDescent="0.25">
      <c r="M24077" t="s">
        <v>236</v>
      </c>
    </row>
    <row r="24078" spans="13:13" x14ac:dyDescent="0.25">
      <c r="M24078" t="s">
        <v>237</v>
      </c>
    </row>
    <row r="24079" spans="13:13" x14ac:dyDescent="0.25">
      <c r="M24079" t="s">
        <v>238</v>
      </c>
    </row>
    <row r="24080" spans="13:13" x14ac:dyDescent="0.25">
      <c r="M24080" t="s">
        <v>239</v>
      </c>
    </row>
    <row r="24081" spans="13:13" x14ac:dyDescent="0.25">
      <c r="M24081" t="s">
        <v>240</v>
      </c>
    </row>
    <row r="24082" spans="13:13" x14ac:dyDescent="0.25">
      <c r="M24082" t="s">
        <v>241</v>
      </c>
    </row>
    <row r="24083" spans="13:13" x14ac:dyDescent="0.25">
      <c r="M24083" t="s">
        <v>242</v>
      </c>
    </row>
    <row r="24084" spans="13:13" x14ac:dyDescent="0.25">
      <c r="M24084" t="s">
        <v>243</v>
      </c>
    </row>
    <row r="24085" spans="13:13" x14ac:dyDescent="0.25">
      <c r="M24085" t="s">
        <v>244</v>
      </c>
    </row>
    <row r="24086" spans="13:13" x14ac:dyDescent="0.25">
      <c r="M24086" t="s">
        <v>245</v>
      </c>
    </row>
    <row r="24087" spans="13:13" x14ac:dyDescent="0.25">
      <c r="M24087" t="s">
        <v>246</v>
      </c>
    </row>
    <row r="24088" spans="13:13" x14ac:dyDescent="0.25">
      <c r="M24088" t="s">
        <v>247</v>
      </c>
    </row>
    <row r="24089" spans="13:13" x14ac:dyDescent="0.25">
      <c r="M24089" t="s">
        <v>248</v>
      </c>
    </row>
    <row r="24090" spans="13:13" x14ac:dyDescent="0.25">
      <c r="M24090" t="s">
        <v>249</v>
      </c>
    </row>
    <row r="24091" spans="13:13" x14ac:dyDescent="0.25">
      <c r="M24091" t="s">
        <v>250</v>
      </c>
    </row>
    <row r="24092" spans="13:13" x14ac:dyDescent="0.25">
      <c r="M24092" t="s">
        <v>251</v>
      </c>
    </row>
    <row r="24093" spans="13:13" x14ac:dyDescent="0.25">
      <c r="M24093" t="s">
        <v>252</v>
      </c>
    </row>
    <row r="24094" spans="13:13" x14ac:dyDescent="0.25">
      <c r="M24094" t="s">
        <v>253</v>
      </c>
    </row>
    <row r="24104" spans="13:13" x14ac:dyDescent="0.25">
      <c r="M24104" t="s">
        <v>254</v>
      </c>
    </row>
    <row r="24105" spans="13:13" x14ac:dyDescent="0.25">
      <c r="M24105" t="s">
        <v>83</v>
      </c>
    </row>
    <row r="24119" spans="13:13" x14ac:dyDescent="0.25">
      <c r="M24119" t="s">
        <v>255</v>
      </c>
    </row>
    <row r="24120" spans="13:13" x14ac:dyDescent="0.25">
      <c r="M24120" t="s">
        <v>256</v>
      </c>
    </row>
    <row r="24121" spans="13:13" x14ac:dyDescent="0.25">
      <c r="M24121" t="s">
        <v>257</v>
      </c>
    </row>
    <row r="24122" spans="13:13" x14ac:dyDescent="0.25">
      <c r="M24122" t="s">
        <v>258</v>
      </c>
    </row>
    <row r="24123" spans="13:13" x14ac:dyDescent="0.25">
      <c r="M24123" t="s">
        <v>259</v>
      </c>
    </row>
    <row r="24124" spans="13:13" x14ac:dyDescent="0.25">
      <c r="M24124" t="s">
        <v>260</v>
      </c>
    </row>
    <row r="24125" spans="13:13" x14ac:dyDescent="0.25">
      <c r="M24125" t="s">
        <v>261</v>
      </c>
    </row>
    <row r="24126" spans="13:13" x14ac:dyDescent="0.25">
      <c r="M24126" t="s">
        <v>262</v>
      </c>
    </row>
    <row r="24127" spans="13:13" x14ac:dyDescent="0.25">
      <c r="M24127" t="s">
        <v>263</v>
      </c>
    </row>
    <row r="24178" spans="13:13" x14ac:dyDescent="0.25">
      <c r="M24178" t="s">
        <v>264</v>
      </c>
    </row>
    <row r="24179" spans="13:13" x14ac:dyDescent="0.25">
      <c r="M24179" t="s">
        <v>265</v>
      </c>
    </row>
    <row r="24180" spans="13:13" x14ac:dyDescent="0.25">
      <c r="M24180" t="s">
        <v>266</v>
      </c>
    </row>
    <row r="24229" spans="13:13" x14ac:dyDescent="0.25">
      <c r="M24229" t="s">
        <v>267</v>
      </c>
    </row>
    <row r="24230" spans="13:13" x14ac:dyDescent="0.25">
      <c r="M24230" t="s">
        <v>268</v>
      </c>
    </row>
    <row r="24231" spans="13:13" x14ac:dyDescent="0.25">
      <c r="M24231" t="s">
        <v>269</v>
      </c>
    </row>
    <row r="24232" spans="13:13" x14ac:dyDescent="0.25">
      <c r="M24232" t="s">
        <v>270</v>
      </c>
    </row>
    <row r="24233" spans="13:13" x14ac:dyDescent="0.25">
      <c r="M24233" t="s">
        <v>271</v>
      </c>
    </row>
    <row r="24234" spans="13:13" x14ac:dyDescent="0.25">
      <c r="M24234" t="s">
        <v>272</v>
      </c>
    </row>
    <row r="24255" spans="13:13" x14ac:dyDescent="0.25">
      <c r="M24255" t="s">
        <v>273</v>
      </c>
    </row>
    <row r="24256" spans="13:13" x14ac:dyDescent="0.25">
      <c r="M24256" t="s">
        <v>274</v>
      </c>
    </row>
    <row r="24259" spans="13:13" x14ac:dyDescent="0.25">
      <c r="M24259" t="s">
        <v>275</v>
      </c>
    </row>
    <row r="24260" spans="13:13" x14ac:dyDescent="0.25">
      <c r="M24260" t="s">
        <v>276</v>
      </c>
    </row>
    <row r="24261" spans="13:13" x14ac:dyDescent="0.25">
      <c r="M24261" t="s">
        <v>277</v>
      </c>
    </row>
    <row r="24266" spans="13:13" x14ac:dyDescent="0.25">
      <c r="M24266" t="s">
        <v>278</v>
      </c>
    </row>
    <row r="24267" spans="13:13" x14ac:dyDescent="0.25">
      <c r="M24267" t="s">
        <v>279</v>
      </c>
    </row>
    <row r="24283" spans="13:13" x14ac:dyDescent="0.25">
      <c r="M24283" t="s">
        <v>203</v>
      </c>
    </row>
    <row r="24284" spans="13:13" x14ac:dyDescent="0.25">
      <c r="M24284" t="s">
        <v>204</v>
      </c>
    </row>
    <row r="24285" spans="13:13" x14ac:dyDescent="0.25">
      <c r="M24285" t="s">
        <v>205</v>
      </c>
    </row>
    <row r="24286" spans="13:13" x14ac:dyDescent="0.25">
      <c r="M24286" t="s">
        <v>206</v>
      </c>
    </row>
    <row r="24287" spans="13:13" x14ac:dyDescent="0.25">
      <c r="M24287" t="s">
        <v>207</v>
      </c>
    </row>
    <row r="24288" spans="13:13" x14ac:dyDescent="0.25">
      <c r="M24288" t="s">
        <v>208</v>
      </c>
    </row>
    <row r="24289" spans="13:13" x14ac:dyDescent="0.25">
      <c r="M24289" t="s">
        <v>209</v>
      </c>
    </row>
    <row r="24290" spans="13:13" x14ac:dyDescent="0.25">
      <c r="M24290" t="s">
        <v>210</v>
      </c>
    </row>
    <row r="24310" spans="13:13" x14ac:dyDescent="0.25">
      <c r="M24310" t="s">
        <v>211</v>
      </c>
    </row>
    <row r="24311" spans="13:13" x14ac:dyDescent="0.25">
      <c r="M24311" t="s">
        <v>212</v>
      </c>
    </row>
    <row r="24312" spans="13:13" x14ac:dyDescent="0.25">
      <c r="M24312" t="s">
        <v>213</v>
      </c>
    </row>
    <row r="24313" spans="13:13" x14ac:dyDescent="0.25">
      <c r="M24313" t="s">
        <v>214</v>
      </c>
    </row>
    <row r="24314" spans="13:13" x14ac:dyDescent="0.25">
      <c r="M24314" t="s">
        <v>215</v>
      </c>
    </row>
    <row r="24315" spans="13:13" x14ac:dyDescent="0.25">
      <c r="M24315" t="s">
        <v>216</v>
      </c>
    </row>
    <row r="24316" spans="13:13" x14ac:dyDescent="0.25">
      <c r="M24316" t="s">
        <v>217</v>
      </c>
    </row>
    <row r="24317" spans="13:13" x14ac:dyDescent="0.25">
      <c r="M24317" t="s">
        <v>218</v>
      </c>
    </row>
    <row r="24318" spans="13:13" x14ac:dyDescent="0.25">
      <c r="M24318" t="s">
        <v>219</v>
      </c>
    </row>
    <row r="24319" spans="13:13" x14ac:dyDescent="0.25">
      <c r="M24319" t="s">
        <v>220</v>
      </c>
    </row>
    <row r="24323" spans="13:13" x14ac:dyDescent="0.25">
      <c r="M24323" t="s">
        <v>221</v>
      </c>
    </row>
    <row r="24324" spans="13:13" x14ac:dyDescent="0.25">
      <c r="M24324" t="s">
        <v>222</v>
      </c>
    </row>
    <row r="24325" spans="13:13" x14ac:dyDescent="0.25">
      <c r="M24325" t="s">
        <v>223</v>
      </c>
    </row>
    <row r="24326" spans="13:13" x14ac:dyDescent="0.25">
      <c r="M24326" t="s">
        <v>224</v>
      </c>
    </row>
    <row r="24327" spans="13:13" x14ac:dyDescent="0.25">
      <c r="M24327" t="s">
        <v>225</v>
      </c>
    </row>
    <row r="24328" spans="13:13" x14ac:dyDescent="0.25">
      <c r="M24328" t="s">
        <v>226</v>
      </c>
    </row>
    <row r="24329" spans="13:13" x14ac:dyDescent="0.25">
      <c r="M24329" t="s">
        <v>227</v>
      </c>
    </row>
    <row r="24330" spans="13:13" x14ac:dyDescent="0.25">
      <c r="M24330" t="s">
        <v>228</v>
      </c>
    </row>
    <row r="24331" spans="13:13" x14ac:dyDescent="0.25">
      <c r="M24331" t="s">
        <v>229</v>
      </c>
    </row>
    <row r="24332" spans="13:13" x14ac:dyDescent="0.25">
      <c r="M24332" t="s">
        <v>230</v>
      </c>
    </row>
    <row r="24333" spans="13:13" x14ac:dyDescent="0.25">
      <c r="M24333" t="s">
        <v>231</v>
      </c>
    </row>
    <row r="24334" spans="13:13" x14ac:dyDescent="0.25">
      <c r="M24334" t="s">
        <v>232</v>
      </c>
    </row>
    <row r="24335" spans="13:13" x14ac:dyDescent="0.25">
      <c r="M24335" t="s">
        <v>233</v>
      </c>
    </row>
    <row r="24336" spans="13:13" x14ac:dyDescent="0.25">
      <c r="M24336" t="s">
        <v>234</v>
      </c>
    </row>
    <row r="24337" spans="13:13" x14ac:dyDescent="0.25">
      <c r="M24337" t="s">
        <v>235</v>
      </c>
    </row>
    <row r="24338" spans="13:13" x14ac:dyDescent="0.25">
      <c r="M24338" t="s">
        <v>236</v>
      </c>
    </row>
    <row r="24339" spans="13:13" x14ac:dyDescent="0.25">
      <c r="M24339" t="s">
        <v>237</v>
      </c>
    </row>
    <row r="24340" spans="13:13" x14ac:dyDescent="0.25">
      <c r="M24340" t="s">
        <v>238</v>
      </c>
    </row>
    <row r="24341" spans="13:13" x14ac:dyDescent="0.25">
      <c r="M24341" t="s">
        <v>239</v>
      </c>
    </row>
    <row r="24342" spans="13:13" x14ac:dyDescent="0.25">
      <c r="M24342" t="s">
        <v>240</v>
      </c>
    </row>
    <row r="24343" spans="13:13" x14ac:dyDescent="0.25">
      <c r="M24343" t="s">
        <v>241</v>
      </c>
    </row>
    <row r="24344" spans="13:13" x14ac:dyDescent="0.25">
      <c r="M24344" t="s">
        <v>242</v>
      </c>
    </row>
    <row r="24345" spans="13:13" x14ac:dyDescent="0.25">
      <c r="M24345" t="s">
        <v>243</v>
      </c>
    </row>
    <row r="24346" spans="13:13" x14ac:dyDescent="0.25">
      <c r="M24346" t="s">
        <v>244</v>
      </c>
    </row>
    <row r="24347" spans="13:13" x14ac:dyDescent="0.25">
      <c r="M24347" t="s">
        <v>245</v>
      </c>
    </row>
    <row r="24348" spans="13:13" x14ac:dyDescent="0.25">
      <c r="M24348" t="s">
        <v>246</v>
      </c>
    </row>
    <row r="24349" spans="13:13" x14ac:dyDescent="0.25">
      <c r="M24349" t="s">
        <v>247</v>
      </c>
    </row>
    <row r="24350" spans="13:13" x14ac:dyDescent="0.25">
      <c r="M24350" t="s">
        <v>248</v>
      </c>
    </row>
    <row r="24351" spans="13:13" x14ac:dyDescent="0.25">
      <c r="M24351" t="s">
        <v>249</v>
      </c>
    </row>
    <row r="24352" spans="13:13" x14ac:dyDescent="0.25">
      <c r="M24352" t="s">
        <v>250</v>
      </c>
    </row>
    <row r="24353" spans="13:13" x14ac:dyDescent="0.25">
      <c r="M24353" t="s">
        <v>251</v>
      </c>
    </row>
    <row r="24354" spans="13:13" x14ac:dyDescent="0.25">
      <c r="M24354" t="s">
        <v>252</v>
      </c>
    </row>
    <row r="24355" spans="13:13" x14ac:dyDescent="0.25">
      <c r="M24355" t="s">
        <v>253</v>
      </c>
    </row>
    <row r="24365" spans="13:13" x14ac:dyDescent="0.25">
      <c r="M24365" t="s">
        <v>254</v>
      </c>
    </row>
    <row r="24366" spans="13:13" x14ac:dyDescent="0.25">
      <c r="M24366" t="s">
        <v>83</v>
      </c>
    </row>
    <row r="24380" spans="13:13" x14ac:dyDescent="0.25">
      <c r="M24380" t="s">
        <v>255</v>
      </c>
    </row>
    <row r="24381" spans="13:13" x14ac:dyDescent="0.25">
      <c r="M24381" t="s">
        <v>256</v>
      </c>
    </row>
    <row r="24382" spans="13:13" x14ac:dyDescent="0.25">
      <c r="M24382" t="s">
        <v>257</v>
      </c>
    </row>
    <row r="24383" spans="13:13" x14ac:dyDescent="0.25">
      <c r="M24383" t="s">
        <v>258</v>
      </c>
    </row>
    <row r="24384" spans="13:13" x14ac:dyDescent="0.25">
      <c r="M24384" t="s">
        <v>259</v>
      </c>
    </row>
    <row r="24385" spans="13:13" x14ac:dyDescent="0.25">
      <c r="M24385" t="s">
        <v>260</v>
      </c>
    </row>
    <row r="24386" spans="13:13" x14ac:dyDescent="0.25">
      <c r="M24386" t="s">
        <v>261</v>
      </c>
    </row>
    <row r="24387" spans="13:13" x14ac:dyDescent="0.25">
      <c r="M24387" t="s">
        <v>262</v>
      </c>
    </row>
    <row r="24388" spans="13:13" x14ac:dyDescent="0.25">
      <c r="M24388" t="s">
        <v>263</v>
      </c>
    </row>
    <row r="24439" spans="13:13" x14ac:dyDescent="0.25">
      <c r="M24439" t="s">
        <v>264</v>
      </c>
    </row>
    <row r="24440" spans="13:13" x14ac:dyDescent="0.25">
      <c r="M24440" t="s">
        <v>265</v>
      </c>
    </row>
    <row r="24441" spans="13:13" x14ac:dyDescent="0.25">
      <c r="M24441" t="s">
        <v>266</v>
      </c>
    </row>
    <row r="24490" spans="13:13" x14ac:dyDescent="0.25">
      <c r="M24490" t="s">
        <v>267</v>
      </c>
    </row>
    <row r="24491" spans="13:13" x14ac:dyDescent="0.25">
      <c r="M24491" t="s">
        <v>268</v>
      </c>
    </row>
    <row r="24492" spans="13:13" x14ac:dyDescent="0.25">
      <c r="M24492" t="s">
        <v>269</v>
      </c>
    </row>
    <row r="24493" spans="13:13" x14ac:dyDescent="0.25">
      <c r="M24493" t="s">
        <v>270</v>
      </c>
    </row>
    <row r="24494" spans="13:13" x14ac:dyDescent="0.25">
      <c r="M24494" t="s">
        <v>271</v>
      </c>
    </row>
    <row r="24495" spans="13:13" x14ac:dyDescent="0.25">
      <c r="M24495" t="s">
        <v>272</v>
      </c>
    </row>
    <row r="24516" spans="13:13" x14ac:dyDescent="0.25">
      <c r="M24516" t="s">
        <v>273</v>
      </c>
    </row>
    <row r="24517" spans="13:13" x14ac:dyDescent="0.25">
      <c r="M24517" t="s">
        <v>274</v>
      </c>
    </row>
    <row r="24520" spans="13:13" x14ac:dyDescent="0.25">
      <c r="M24520" t="s">
        <v>275</v>
      </c>
    </row>
    <row r="24521" spans="13:13" x14ac:dyDescent="0.25">
      <c r="M24521" t="s">
        <v>276</v>
      </c>
    </row>
    <row r="24522" spans="13:13" x14ac:dyDescent="0.25">
      <c r="M24522" t="s">
        <v>277</v>
      </c>
    </row>
    <row r="24527" spans="13:13" x14ac:dyDescent="0.25">
      <c r="M24527" t="s">
        <v>278</v>
      </c>
    </row>
    <row r="24528" spans="13:13" x14ac:dyDescent="0.25">
      <c r="M24528" t="s">
        <v>279</v>
      </c>
    </row>
    <row r="24544" spans="13:13" x14ac:dyDescent="0.25">
      <c r="M24544" t="s">
        <v>203</v>
      </c>
    </row>
    <row r="24545" spans="13:13" x14ac:dyDescent="0.25">
      <c r="M24545" t="s">
        <v>204</v>
      </c>
    </row>
    <row r="24546" spans="13:13" x14ac:dyDescent="0.25">
      <c r="M24546" t="s">
        <v>205</v>
      </c>
    </row>
    <row r="24547" spans="13:13" x14ac:dyDescent="0.25">
      <c r="M24547" t="s">
        <v>206</v>
      </c>
    </row>
    <row r="24548" spans="13:13" x14ac:dyDescent="0.25">
      <c r="M24548" t="s">
        <v>207</v>
      </c>
    </row>
    <row r="24549" spans="13:13" x14ac:dyDescent="0.25">
      <c r="M24549" t="s">
        <v>208</v>
      </c>
    </row>
    <row r="24550" spans="13:13" x14ac:dyDescent="0.25">
      <c r="M24550" t="s">
        <v>209</v>
      </c>
    </row>
    <row r="24551" spans="13:13" x14ac:dyDescent="0.25">
      <c r="M24551" t="s">
        <v>210</v>
      </c>
    </row>
    <row r="24571" spans="13:13" x14ac:dyDescent="0.25">
      <c r="M24571" t="s">
        <v>211</v>
      </c>
    </row>
    <row r="24572" spans="13:13" x14ac:dyDescent="0.25">
      <c r="M24572" t="s">
        <v>212</v>
      </c>
    </row>
    <row r="24573" spans="13:13" x14ac:dyDescent="0.25">
      <c r="M24573" t="s">
        <v>213</v>
      </c>
    </row>
    <row r="24574" spans="13:13" x14ac:dyDescent="0.25">
      <c r="M24574" t="s">
        <v>214</v>
      </c>
    </row>
    <row r="24575" spans="13:13" x14ac:dyDescent="0.25">
      <c r="M24575" t="s">
        <v>215</v>
      </c>
    </row>
    <row r="24576" spans="13:13" x14ac:dyDescent="0.25">
      <c r="M24576" t="s">
        <v>216</v>
      </c>
    </row>
    <row r="24577" spans="13:13" x14ac:dyDescent="0.25">
      <c r="M24577" t="s">
        <v>217</v>
      </c>
    </row>
    <row r="24578" spans="13:13" x14ac:dyDescent="0.25">
      <c r="M24578" t="s">
        <v>218</v>
      </c>
    </row>
    <row r="24579" spans="13:13" x14ac:dyDescent="0.25">
      <c r="M24579" t="s">
        <v>219</v>
      </c>
    </row>
    <row r="24580" spans="13:13" x14ac:dyDescent="0.25">
      <c r="M24580" t="s">
        <v>220</v>
      </c>
    </row>
    <row r="24584" spans="13:13" x14ac:dyDescent="0.25">
      <c r="M24584" t="s">
        <v>221</v>
      </c>
    </row>
    <row r="24585" spans="13:13" x14ac:dyDescent="0.25">
      <c r="M24585" t="s">
        <v>222</v>
      </c>
    </row>
    <row r="24586" spans="13:13" x14ac:dyDescent="0.25">
      <c r="M24586" t="s">
        <v>223</v>
      </c>
    </row>
    <row r="24587" spans="13:13" x14ac:dyDescent="0.25">
      <c r="M24587" t="s">
        <v>224</v>
      </c>
    </row>
    <row r="24588" spans="13:13" x14ac:dyDescent="0.25">
      <c r="M24588" t="s">
        <v>225</v>
      </c>
    </row>
    <row r="24589" spans="13:13" x14ac:dyDescent="0.25">
      <c r="M24589" t="s">
        <v>226</v>
      </c>
    </row>
    <row r="24590" spans="13:13" x14ac:dyDescent="0.25">
      <c r="M24590" t="s">
        <v>227</v>
      </c>
    </row>
    <row r="24591" spans="13:13" x14ac:dyDescent="0.25">
      <c r="M24591" t="s">
        <v>228</v>
      </c>
    </row>
    <row r="24592" spans="13:13" x14ac:dyDescent="0.25">
      <c r="M24592" t="s">
        <v>229</v>
      </c>
    </row>
    <row r="24593" spans="13:13" x14ac:dyDescent="0.25">
      <c r="M24593" t="s">
        <v>230</v>
      </c>
    </row>
    <row r="24594" spans="13:13" x14ac:dyDescent="0.25">
      <c r="M24594" t="s">
        <v>231</v>
      </c>
    </row>
    <row r="24595" spans="13:13" x14ac:dyDescent="0.25">
      <c r="M24595" t="s">
        <v>232</v>
      </c>
    </row>
    <row r="24596" spans="13:13" x14ac:dyDescent="0.25">
      <c r="M24596" t="s">
        <v>233</v>
      </c>
    </row>
    <row r="24597" spans="13:13" x14ac:dyDescent="0.25">
      <c r="M24597" t="s">
        <v>234</v>
      </c>
    </row>
    <row r="24598" spans="13:13" x14ac:dyDescent="0.25">
      <c r="M24598" t="s">
        <v>235</v>
      </c>
    </row>
    <row r="24599" spans="13:13" x14ac:dyDescent="0.25">
      <c r="M24599" t="s">
        <v>236</v>
      </c>
    </row>
    <row r="24600" spans="13:13" x14ac:dyDescent="0.25">
      <c r="M24600" t="s">
        <v>237</v>
      </c>
    </row>
    <row r="24601" spans="13:13" x14ac:dyDescent="0.25">
      <c r="M24601" t="s">
        <v>238</v>
      </c>
    </row>
    <row r="24602" spans="13:13" x14ac:dyDescent="0.25">
      <c r="M24602" t="s">
        <v>239</v>
      </c>
    </row>
    <row r="24603" spans="13:13" x14ac:dyDescent="0.25">
      <c r="M24603" t="s">
        <v>240</v>
      </c>
    </row>
    <row r="24604" spans="13:13" x14ac:dyDescent="0.25">
      <c r="M24604" t="s">
        <v>241</v>
      </c>
    </row>
    <row r="24605" spans="13:13" x14ac:dyDescent="0.25">
      <c r="M24605" t="s">
        <v>242</v>
      </c>
    </row>
    <row r="24606" spans="13:13" x14ac:dyDescent="0.25">
      <c r="M24606" t="s">
        <v>243</v>
      </c>
    </row>
    <row r="24607" spans="13:13" x14ac:dyDescent="0.25">
      <c r="M24607" t="s">
        <v>244</v>
      </c>
    </row>
    <row r="24608" spans="13:13" x14ac:dyDescent="0.25">
      <c r="M24608" t="s">
        <v>245</v>
      </c>
    </row>
    <row r="24609" spans="13:13" x14ac:dyDescent="0.25">
      <c r="M24609" t="s">
        <v>246</v>
      </c>
    </row>
    <row r="24610" spans="13:13" x14ac:dyDescent="0.25">
      <c r="M24610" t="s">
        <v>247</v>
      </c>
    </row>
    <row r="24611" spans="13:13" x14ac:dyDescent="0.25">
      <c r="M24611" t="s">
        <v>248</v>
      </c>
    </row>
    <row r="24612" spans="13:13" x14ac:dyDescent="0.25">
      <c r="M24612" t="s">
        <v>249</v>
      </c>
    </row>
    <row r="24613" spans="13:13" x14ac:dyDescent="0.25">
      <c r="M24613" t="s">
        <v>250</v>
      </c>
    </row>
    <row r="24614" spans="13:13" x14ac:dyDescent="0.25">
      <c r="M24614" t="s">
        <v>251</v>
      </c>
    </row>
    <row r="24615" spans="13:13" x14ac:dyDescent="0.25">
      <c r="M24615" t="s">
        <v>252</v>
      </c>
    </row>
    <row r="24616" spans="13:13" x14ac:dyDescent="0.25">
      <c r="M24616" t="s">
        <v>253</v>
      </c>
    </row>
    <row r="24626" spans="13:13" x14ac:dyDescent="0.25">
      <c r="M24626" t="s">
        <v>254</v>
      </c>
    </row>
    <row r="24627" spans="13:13" x14ac:dyDescent="0.25">
      <c r="M24627" t="s">
        <v>83</v>
      </c>
    </row>
    <row r="24641" spans="13:13" x14ac:dyDescent="0.25">
      <c r="M24641" t="s">
        <v>255</v>
      </c>
    </row>
    <row r="24642" spans="13:13" x14ac:dyDescent="0.25">
      <c r="M24642" t="s">
        <v>256</v>
      </c>
    </row>
    <row r="24643" spans="13:13" x14ac:dyDescent="0.25">
      <c r="M24643" t="s">
        <v>257</v>
      </c>
    </row>
    <row r="24644" spans="13:13" x14ac:dyDescent="0.25">
      <c r="M24644" t="s">
        <v>258</v>
      </c>
    </row>
    <row r="24645" spans="13:13" x14ac:dyDescent="0.25">
      <c r="M24645" t="s">
        <v>259</v>
      </c>
    </row>
    <row r="24646" spans="13:13" x14ac:dyDescent="0.25">
      <c r="M24646" t="s">
        <v>260</v>
      </c>
    </row>
    <row r="24647" spans="13:13" x14ac:dyDescent="0.25">
      <c r="M24647" t="s">
        <v>261</v>
      </c>
    </row>
    <row r="24648" spans="13:13" x14ac:dyDescent="0.25">
      <c r="M24648" t="s">
        <v>262</v>
      </c>
    </row>
    <row r="24649" spans="13:13" x14ac:dyDescent="0.25">
      <c r="M24649" t="s">
        <v>263</v>
      </c>
    </row>
    <row r="24700" spans="13:13" x14ac:dyDescent="0.25">
      <c r="M24700" t="s">
        <v>264</v>
      </c>
    </row>
    <row r="24701" spans="13:13" x14ac:dyDescent="0.25">
      <c r="M24701" t="s">
        <v>265</v>
      </c>
    </row>
    <row r="24702" spans="13:13" x14ac:dyDescent="0.25">
      <c r="M24702" t="s">
        <v>266</v>
      </c>
    </row>
    <row r="24751" spans="13:13" x14ac:dyDescent="0.25">
      <c r="M24751" t="s">
        <v>267</v>
      </c>
    </row>
    <row r="24752" spans="13:13" x14ac:dyDescent="0.25">
      <c r="M24752" t="s">
        <v>268</v>
      </c>
    </row>
    <row r="24753" spans="13:13" x14ac:dyDescent="0.25">
      <c r="M24753" t="s">
        <v>269</v>
      </c>
    </row>
    <row r="24754" spans="13:13" x14ac:dyDescent="0.25">
      <c r="M24754" t="s">
        <v>270</v>
      </c>
    </row>
    <row r="24755" spans="13:13" x14ac:dyDescent="0.25">
      <c r="M24755" t="s">
        <v>271</v>
      </c>
    </row>
    <row r="24756" spans="13:13" x14ac:dyDescent="0.25">
      <c r="M24756" t="s">
        <v>272</v>
      </c>
    </row>
    <row r="24777" spans="13:13" x14ac:dyDescent="0.25">
      <c r="M24777" t="s">
        <v>273</v>
      </c>
    </row>
    <row r="24778" spans="13:13" x14ac:dyDescent="0.25">
      <c r="M24778" t="s">
        <v>274</v>
      </c>
    </row>
    <row r="24781" spans="13:13" x14ac:dyDescent="0.25">
      <c r="M24781" t="s">
        <v>275</v>
      </c>
    </row>
    <row r="24782" spans="13:13" x14ac:dyDescent="0.25">
      <c r="M24782" t="s">
        <v>276</v>
      </c>
    </row>
    <row r="24783" spans="13:13" x14ac:dyDescent="0.25">
      <c r="M24783" t="s">
        <v>277</v>
      </c>
    </row>
    <row r="24788" spans="13:13" x14ac:dyDescent="0.25">
      <c r="M24788" t="s">
        <v>278</v>
      </c>
    </row>
    <row r="24789" spans="13:13" x14ac:dyDescent="0.25">
      <c r="M24789" t="s">
        <v>279</v>
      </c>
    </row>
    <row r="24805" spans="13:13" x14ac:dyDescent="0.25">
      <c r="M24805" t="s">
        <v>203</v>
      </c>
    </row>
    <row r="24806" spans="13:13" x14ac:dyDescent="0.25">
      <c r="M24806" t="s">
        <v>204</v>
      </c>
    </row>
    <row r="24807" spans="13:13" x14ac:dyDescent="0.25">
      <c r="M24807" t="s">
        <v>205</v>
      </c>
    </row>
    <row r="24808" spans="13:13" x14ac:dyDescent="0.25">
      <c r="M24808" t="s">
        <v>206</v>
      </c>
    </row>
    <row r="24809" spans="13:13" x14ac:dyDescent="0.25">
      <c r="M24809" t="s">
        <v>207</v>
      </c>
    </row>
    <row r="24810" spans="13:13" x14ac:dyDescent="0.25">
      <c r="M24810" t="s">
        <v>208</v>
      </c>
    </row>
    <row r="24811" spans="13:13" x14ac:dyDescent="0.25">
      <c r="M24811" t="s">
        <v>209</v>
      </c>
    </row>
    <row r="24812" spans="13:13" x14ac:dyDescent="0.25">
      <c r="M24812" t="s">
        <v>210</v>
      </c>
    </row>
    <row r="24832" spans="13:13" x14ac:dyDescent="0.25">
      <c r="M24832" t="s">
        <v>211</v>
      </c>
    </row>
    <row r="24833" spans="13:13" x14ac:dyDescent="0.25">
      <c r="M24833" t="s">
        <v>212</v>
      </c>
    </row>
    <row r="24834" spans="13:13" x14ac:dyDescent="0.25">
      <c r="M24834" t="s">
        <v>213</v>
      </c>
    </row>
    <row r="24835" spans="13:13" x14ac:dyDescent="0.25">
      <c r="M24835" t="s">
        <v>214</v>
      </c>
    </row>
    <row r="24836" spans="13:13" x14ac:dyDescent="0.25">
      <c r="M24836" t="s">
        <v>215</v>
      </c>
    </row>
    <row r="24837" spans="13:13" x14ac:dyDescent="0.25">
      <c r="M24837" t="s">
        <v>216</v>
      </c>
    </row>
    <row r="24838" spans="13:13" x14ac:dyDescent="0.25">
      <c r="M24838" t="s">
        <v>217</v>
      </c>
    </row>
    <row r="24839" spans="13:13" x14ac:dyDescent="0.25">
      <c r="M24839" t="s">
        <v>218</v>
      </c>
    </row>
    <row r="24840" spans="13:13" x14ac:dyDescent="0.25">
      <c r="M24840" t="s">
        <v>219</v>
      </c>
    </row>
    <row r="24841" spans="13:13" x14ac:dyDescent="0.25">
      <c r="M24841" t="s">
        <v>220</v>
      </c>
    </row>
    <row r="24845" spans="13:13" x14ac:dyDescent="0.25">
      <c r="M24845" t="s">
        <v>221</v>
      </c>
    </row>
    <row r="24846" spans="13:13" x14ac:dyDescent="0.25">
      <c r="M24846" t="s">
        <v>222</v>
      </c>
    </row>
    <row r="24847" spans="13:13" x14ac:dyDescent="0.25">
      <c r="M24847" t="s">
        <v>223</v>
      </c>
    </row>
    <row r="24848" spans="13:13" x14ac:dyDescent="0.25">
      <c r="M24848" t="s">
        <v>224</v>
      </c>
    </row>
    <row r="24849" spans="13:13" x14ac:dyDescent="0.25">
      <c r="M24849" t="s">
        <v>225</v>
      </c>
    </row>
    <row r="24850" spans="13:13" x14ac:dyDescent="0.25">
      <c r="M24850" t="s">
        <v>226</v>
      </c>
    </row>
    <row r="24851" spans="13:13" x14ac:dyDescent="0.25">
      <c r="M24851" t="s">
        <v>227</v>
      </c>
    </row>
    <row r="24852" spans="13:13" x14ac:dyDescent="0.25">
      <c r="M24852" t="s">
        <v>228</v>
      </c>
    </row>
    <row r="24853" spans="13:13" x14ac:dyDescent="0.25">
      <c r="M24853" t="s">
        <v>229</v>
      </c>
    </row>
    <row r="24854" spans="13:13" x14ac:dyDescent="0.25">
      <c r="M24854" t="s">
        <v>230</v>
      </c>
    </row>
    <row r="24855" spans="13:13" x14ac:dyDescent="0.25">
      <c r="M24855" t="s">
        <v>231</v>
      </c>
    </row>
    <row r="24856" spans="13:13" x14ac:dyDescent="0.25">
      <c r="M24856" t="s">
        <v>232</v>
      </c>
    </row>
    <row r="24857" spans="13:13" x14ac:dyDescent="0.25">
      <c r="M24857" t="s">
        <v>233</v>
      </c>
    </row>
    <row r="24858" spans="13:13" x14ac:dyDescent="0.25">
      <c r="M24858" t="s">
        <v>234</v>
      </c>
    </row>
    <row r="24859" spans="13:13" x14ac:dyDescent="0.25">
      <c r="M24859" t="s">
        <v>235</v>
      </c>
    </row>
    <row r="24860" spans="13:13" x14ac:dyDescent="0.25">
      <c r="M24860" t="s">
        <v>236</v>
      </c>
    </row>
    <row r="24861" spans="13:13" x14ac:dyDescent="0.25">
      <c r="M24861" t="s">
        <v>237</v>
      </c>
    </row>
    <row r="24862" spans="13:13" x14ac:dyDescent="0.25">
      <c r="M24862" t="s">
        <v>238</v>
      </c>
    </row>
    <row r="24863" spans="13:13" x14ac:dyDescent="0.25">
      <c r="M24863" t="s">
        <v>239</v>
      </c>
    </row>
    <row r="24864" spans="13:13" x14ac:dyDescent="0.25">
      <c r="M24864" t="s">
        <v>240</v>
      </c>
    </row>
    <row r="24865" spans="13:13" x14ac:dyDescent="0.25">
      <c r="M24865" t="s">
        <v>241</v>
      </c>
    </row>
    <row r="24866" spans="13:13" x14ac:dyDescent="0.25">
      <c r="M24866" t="s">
        <v>242</v>
      </c>
    </row>
    <row r="24867" spans="13:13" x14ac:dyDescent="0.25">
      <c r="M24867" t="s">
        <v>243</v>
      </c>
    </row>
    <row r="24868" spans="13:13" x14ac:dyDescent="0.25">
      <c r="M24868" t="s">
        <v>244</v>
      </c>
    </row>
    <row r="24869" spans="13:13" x14ac:dyDescent="0.25">
      <c r="M24869" t="s">
        <v>245</v>
      </c>
    </row>
    <row r="24870" spans="13:13" x14ac:dyDescent="0.25">
      <c r="M24870" t="s">
        <v>246</v>
      </c>
    </row>
    <row r="24871" spans="13:13" x14ac:dyDescent="0.25">
      <c r="M24871" t="s">
        <v>247</v>
      </c>
    </row>
    <row r="24872" spans="13:13" x14ac:dyDescent="0.25">
      <c r="M24872" t="s">
        <v>248</v>
      </c>
    </row>
    <row r="24873" spans="13:13" x14ac:dyDescent="0.25">
      <c r="M24873" t="s">
        <v>249</v>
      </c>
    </row>
    <row r="24874" spans="13:13" x14ac:dyDescent="0.25">
      <c r="M24874" t="s">
        <v>250</v>
      </c>
    </row>
    <row r="24875" spans="13:13" x14ac:dyDescent="0.25">
      <c r="M24875" t="s">
        <v>251</v>
      </c>
    </row>
    <row r="24876" spans="13:13" x14ac:dyDescent="0.25">
      <c r="M24876" t="s">
        <v>252</v>
      </c>
    </row>
    <row r="24877" spans="13:13" x14ac:dyDescent="0.25">
      <c r="M24877" t="s">
        <v>253</v>
      </c>
    </row>
    <row r="24887" spans="13:13" x14ac:dyDescent="0.25">
      <c r="M24887" t="s">
        <v>254</v>
      </c>
    </row>
    <row r="24888" spans="13:13" x14ac:dyDescent="0.25">
      <c r="M24888" t="s">
        <v>83</v>
      </c>
    </row>
    <row r="24902" spans="13:13" x14ac:dyDescent="0.25">
      <c r="M24902" t="s">
        <v>255</v>
      </c>
    </row>
    <row r="24903" spans="13:13" x14ac:dyDescent="0.25">
      <c r="M24903" t="s">
        <v>256</v>
      </c>
    </row>
    <row r="24904" spans="13:13" x14ac:dyDescent="0.25">
      <c r="M24904" t="s">
        <v>257</v>
      </c>
    </row>
    <row r="24905" spans="13:13" x14ac:dyDescent="0.25">
      <c r="M24905" t="s">
        <v>258</v>
      </c>
    </row>
    <row r="24906" spans="13:13" x14ac:dyDescent="0.25">
      <c r="M24906" t="s">
        <v>259</v>
      </c>
    </row>
    <row r="24907" spans="13:13" x14ac:dyDescent="0.25">
      <c r="M24907" t="s">
        <v>260</v>
      </c>
    </row>
    <row r="24908" spans="13:13" x14ac:dyDescent="0.25">
      <c r="M24908" t="s">
        <v>261</v>
      </c>
    </row>
    <row r="24909" spans="13:13" x14ac:dyDescent="0.25">
      <c r="M24909" t="s">
        <v>262</v>
      </c>
    </row>
    <row r="24910" spans="13:13" x14ac:dyDescent="0.25">
      <c r="M24910" t="s">
        <v>263</v>
      </c>
    </row>
    <row r="24961" spans="13:13" x14ac:dyDescent="0.25">
      <c r="M24961" t="s">
        <v>264</v>
      </c>
    </row>
    <row r="24962" spans="13:13" x14ac:dyDescent="0.25">
      <c r="M24962" t="s">
        <v>265</v>
      </c>
    </row>
    <row r="24963" spans="13:13" x14ac:dyDescent="0.25">
      <c r="M24963" t="s">
        <v>266</v>
      </c>
    </row>
    <row r="25012" spans="13:13" x14ac:dyDescent="0.25">
      <c r="M25012" t="s">
        <v>267</v>
      </c>
    </row>
    <row r="25013" spans="13:13" x14ac:dyDescent="0.25">
      <c r="M25013" t="s">
        <v>268</v>
      </c>
    </row>
    <row r="25014" spans="13:13" x14ac:dyDescent="0.25">
      <c r="M25014" t="s">
        <v>269</v>
      </c>
    </row>
    <row r="25015" spans="13:13" x14ac:dyDescent="0.25">
      <c r="M25015" t="s">
        <v>270</v>
      </c>
    </row>
    <row r="25016" spans="13:13" x14ac:dyDescent="0.25">
      <c r="M25016" t="s">
        <v>271</v>
      </c>
    </row>
    <row r="25017" spans="13:13" x14ac:dyDescent="0.25">
      <c r="M25017" t="s">
        <v>272</v>
      </c>
    </row>
    <row r="25038" spans="13:13" x14ac:dyDescent="0.25">
      <c r="M25038" t="s">
        <v>273</v>
      </c>
    </row>
    <row r="25039" spans="13:13" x14ac:dyDescent="0.25">
      <c r="M25039" t="s">
        <v>274</v>
      </c>
    </row>
    <row r="25042" spans="13:13" x14ac:dyDescent="0.25">
      <c r="M25042" t="s">
        <v>275</v>
      </c>
    </row>
    <row r="25043" spans="13:13" x14ac:dyDescent="0.25">
      <c r="M25043" t="s">
        <v>276</v>
      </c>
    </row>
    <row r="25044" spans="13:13" x14ac:dyDescent="0.25">
      <c r="M25044" t="s">
        <v>277</v>
      </c>
    </row>
    <row r="25049" spans="13:13" x14ac:dyDescent="0.25">
      <c r="M25049" t="s">
        <v>278</v>
      </c>
    </row>
    <row r="25050" spans="13:13" x14ac:dyDescent="0.25">
      <c r="M25050" t="s">
        <v>279</v>
      </c>
    </row>
    <row r="25066" spans="13:13" x14ac:dyDescent="0.25">
      <c r="M25066" t="s">
        <v>203</v>
      </c>
    </row>
    <row r="25067" spans="13:13" x14ac:dyDescent="0.25">
      <c r="M25067" t="s">
        <v>204</v>
      </c>
    </row>
    <row r="25068" spans="13:13" x14ac:dyDescent="0.25">
      <c r="M25068" t="s">
        <v>205</v>
      </c>
    </row>
    <row r="25069" spans="13:13" x14ac:dyDescent="0.25">
      <c r="M25069" t="s">
        <v>206</v>
      </c>
    </row>
    <row r="25070" spans="13:13" x14ac:dyDescent="0.25">
      <c r="M25070" t="s">
        <v>207</v>
      </c>
    </row>
    <row r="25071" spans="13:13" x14ac:dyDescent="0.25">
      <c r="M25071" t="s">
        <v>208</v>
      </c>
    </row>
    <row r="25072" spans="13:13" x14ac:dyDescent="0.25">
      <c r="M25072" t="s">
        <v>209</v>
      </c>
    </row>
    <row r="25073" spans="13:13" x14ac:dyDescent="0.25">
      <c r="M25073" t="s">
        <v>210</v>
      </c>
    </row>
    <row r="25093" spans="13:13" x14ac:dyDescent="0.25">
      <c r="M25093" t="s">
        <v>211</v>
      </c>
    </row>
    <row r="25094" spans="13:13" x14ac:dyDescent="0.25">
      <c r="M25094" t="s">
        <v>212</v>
      </c>
    </row>
    <row r="25095" spans="13:13" x14ac:dyDescent="0.25">
      <c r="M25095" t="s">
        <v>213</v>
      </c>
    </row>
    <row r="25096" spans="13:13" x14ac:dyDescent="0.25">
      <c r="M25096" t="s">
        <v>214</v>
      </c>
    </row>
    <row r="25097" spans="13:13" x14ac:dyDescent="0.25">
      <c r="M25097" t="s">
        <v>215</v>
      </c>
    </row>
    <row r="25098" spans="13:13" x14ac:dyDescent="0.25">
      <c r="M25098" t="s">
        <v>216</v>
      </c>
    </row>
    <row r="25099" spans="13:13" x14ac:dyDescent="0.25">
      <c r="M25099" t="s">
        <v>217</v>
      </c>
    </row>
    <row r="25100" spans="13:13" x14ac:dyDescent="0.25">
      <c r="M25100" t="s">
        <v>218</v>
      </c>
    </row>
    <row r="25101" spans="13:13" x14ac:dyDescent="0.25">
      <c r="M25101" t="s">
        <v>219</v>
      </c>
    </row>
    <row r="25102" spans="13:13" x14ac:dyDescent="0.25">
      <c r="M25102" t="s">
        <v>220</v>
      </c>
    </row>
    <row r="25106" spans="13:13" x14ac:dyDescent="0.25">
      <c r="M25106" t="s">
        <v>221</v>
      </c>
    </row>
    <row r="25107" spans="13:13" x14ac:dyDescent="0.25">
      <c r="M25107" t="s">
        <v>222</v>
      </c>
    </row>
    <row r="25108" spans="13:13" x14ac:dyDescent="0.25">
      <c r="M25108" t="s">
        <v>223</v>
      </c>
    </row>
    <row r="25109" spans="13:13" x14ac:dyDescent="0.25">
      <c r="M25109" t="s">
        <v>224</v>
      </c>
    </row>
    <row r="25110" spans="13:13" x14ac:dyDescent="0.25">
      <c r="M25110" t="s">
        <v>225</v>
      </c>
    </row>
    <row r="25111" spans="13:13" x14ac:dyDescent="0.25">
      <c r="M25111" t="s">
        <v>226</v>
      </c>
    </row>
    <row r="25112" spans="13:13" x14ac:dyDescent="0.25">
      <c r="M25112" t="s">
        <v>227</v>
      </c>
    </row>
    <row r="25113" spans="13:13" x14ac:dyDescent="0.25">
      <c r="M25113" t="s">
        <v>228</v>
      </c>
    </row>
    <row r="25114" spans="13:13" x14ac:dyDescent="0.25">
      <c r="M25114" t="s">
        <v>229</v>
      </c>
    </row>
    <row r="25115" spans="13:13" x14ac:dyDescent="0.25">
      <c r="M25115" t="s">
        <v>230</v>
      </c>
    </row>
    <row r="25116" spans="13:13" x14ac:dyDescent="0.25">
      <c r="M25116" t="s">
        <v>231</v>
      </c>
    </row>
    <row r="25117" spans="13:13" x14ac:dyDescent="0.25">
      <c r="M25117" t="s">
        <v>232</v>
      </c>
    </row>
    <row r="25118" spans="13:13" x14ac:dyDescent="0.25">
      <c r="M25118" t="s">
        <v>233</v>
      </c>
    </row>
    <row r="25119" spans="13:13" x14ac:dyDescent="0.25">
      <c r="M25119" t="s">
        <v>234</v>
      </c>
    </row>
    <row r="25120" spans="13:13" x14ac:dyDescent="0.25">
      <c r="M25120" t="s">
        <v>235</v>
      </c>
    </row>
    <row r="25121" spans="13:13" x14ac:dyDescent="0.25">
      <c r="M25121" t="s">
        <v>236</v>
      </c>
    </row>
    <row r="25122" spans="13:13" x14ac:dyDescent="0.25">
      <c r="M25122" t="s">
        <v>237</v>
      </c>
    </row>
    <row r="25123" spans="13:13" x14ac:dyDescent="0.25">
      <c r="M25123" t="s">
        <v>238</v>
      </c>
    </row>
    <row r="25124" spans="13:13" x14ac:dyDescent="0.25">
      <c r="M25124" t="s">
        <v>239</v>
      </c>
    </row>
    <row r="25125" spans="13:13" x14ac:dyDescent="0.25">
      <c r="M25125" t="s">
        <v>240</v>
      </c>
    </row>
    <row r="25126" spans="13:13" x14ac:dyDescent="0.25">
      <c r="M25126" t="s">
        <v>241</v>
      </c>
    </row>
    <row r="25127" spans="13:13" x14ac:dyDescent="0.25">
      <c r="M25127" t="s">
        <v>242</v>
      </c>
    </row>
    <row r="25128" spans="13:13" x14ac:dyDescent="0.25">
      <c r="M25128" t="s">
        <v>243</v>
      </c>
    </row>
    <row r="25129" spans="13:13" x14ac:dyDescent="0.25">
      <c r="M25129" t="s">
        <v>244</v>
      </c>
    </row>
    <row r="25130" spans="13:13" x14ac:dyDescent="0.25">
      <c r="M25130" t="s">
        <v>245</v>
      </c>
    </row>
    <row r="25131" spans="13:13" x14ac:dyDescent="0.25">
      <c r="M25131" t="s">
        <v>246</v>
      </c>
    </row>
    <row r="25132" spans="13:13" x14ac:dyDescent="0.25">
      <c r="M25132" t="s">
        <v>247</v>
      </c>
    </row>
    <row r="25133" spans="13:13" x14ac:dyDescent="0.25">
      <c r="M25133" t="s">
        <v>248</v>
      </c>
    </row>
    <row r="25134" spans="13:13" x14ac:dyDescent="0.25">
      <c r="M25134" t="s">
        <v>249</v>
      </c>
    </row>
    <row r="25135" spans="13:13" x14ac:dyDescent="0.25">
      <c r="M25135" t="s">
        <v>250</v>
      </c>
    </row>
    <row r="25136" spans="13:13" x14ac:dyDescent="0.25">
      <c r="M25136" t="s">
        <v>251</v>
      </c>
    </row>
    <row r="25137" spans="13:13" x14ac:dyDescent="0.25">
      <c r="M25137" t="s">
        <v>252</v>
      </c>
    </row>
    <row r="25138" spans="13:13" x14ac:dyDescent="0.25">
      <c r="M25138" t="s">
        <v>253</v>
      </c>
    </row>
    <row r="25148" spans="13:13" x14ac:dyDescent="0.25">
      <c r="M25148" t="s">
        <v>254</v>
      </c>
    </row>
    <row r="25149" spans="13:13" x14ac:dyDescent="0.25">
      <c r="M25149" t="s">
        <v>83</v>
      </c>
    </row>
    <row r="25163" spans="13:13" x14ac:dyDescent="0.25">
      <c r="M25163" t="s">
        <v>255</v>
      </c>
    </row>
    <row r="25164" spans="13:13" x14ac:dyDescent="0.25">
      <c r="M25164" t="s">
        <v>256</v>
      </c>
    </row>
    <row r="25165" spans="13:13" x14ac:dyDescent="0.25">
      <c r="M25165" t="s">
        <v>257</v>
      </c>
    </row>
    <row r="25166" spans="13:13" x14ac:dyDescent="0.25">
      <c r="M25166" t="s">
        <v>258</v>
      </c>
    </row>
    <row r="25167" spans="13:13" x14ac:dyDescent="0.25">
      <c r="M25167" t="s">
        <v>259</v>
      </c>
    </row>
    <row r="25168" spans="13:13" x14ac:dyDescent="0.25">
      <c r="M25168" t="s">
        <v>260</v>
      </c>
    </row>
    <row r="25169" spans="13:13" x14ac:dyDescent="0.25">
      <c r="M25169" t="s">
        <v>261</v>
      </c>
    </row>
    <row r="25170" spans="13:13" x14ac:dyDescent="0.25">
      <c r="M25170" t="s">
        <v>262</v>
      </c>
    </row>
    <row r="25171" spans="13:13" x14ac:dyDescent="0.25">
      <c r="M25171" t="s">
        <v>263</v>
      </c>
    </row>
    <row r="25222" spans="13:13" x14ac:dyDescent="0.25">
      <c r="M25222" t="s">
        <v>264</v>
      </c>
    </row>
    <row r="25223" spans="13:13" x14ac:dyDescent="0.25">
      <c r="M25223" t="s">
        <v>265</v>
      </c>
    </row>
    <row r="25224" spans="13:13" x14ac:dyDescent="0.25">
      <c r="M25224" t="s">
        <v>266</v>
      </c>
    </row>
    <row r="25273" spans="13:13" x14ac:dyDescent="0.25">
      <c r="M25273" t="s">
        <v>267</v>
      </c>
    </row>
    <row r="25274" spans="13:13" x14ac:dyDescent="0.25">
      <c r="M25274" t="s">
        <v>268</v>
      </c>
    </row>
    <row r="25275" spans="13:13" x14ac:dyDescent="0.25">
      <c r="M25275" t="s">
        <v>269</v>
      </c>
    </row>
    <row r="25276" spans="13:13" x14ac:dyDescent="0.25">
      <c r="M25276" t="s">
        <v>270</v>
      </c>
    </row>
    <row r="25277" spans="13:13" x14ac:dyDescent="0.25">
      <c r="M25277" t="s">
        <v>271</v>
      </c>
    </row>
    <row r="25278" spans="13:13" x14ac:dyDescent="0.25">
      <c r="M25278" t="s">
        <v>272</v>
      </c>
    </row>
    <row r="25299" spans="13:13" x14ac:dyDescent="0.25">
      <c r="M25299" t="s">
        <v>273</v>
      </c>
    </row>
    <row r="25300" spans="13:13" x14ac:dyDescent="0.25">
      <c r="M25300" t="s">
        <v>274</v>
      </c>
    </row>
    <row r="25303" spans="13:13" x14ac:dyDescent="0.25">
      <c r="M25303" t="s">
        <v>275</v>
      </c>
    </row>
    <row r="25304" spans="13:13" x14ac:dyDescent="0.25">
      <c r="M25304" t="s">
        <v>276</v>
      </c>
    </row>
    <row r="25305" spans="13:13" x14ac:dyDescent="0.25">
      <c r="M25305" t="s">
        <v>277</v>
      </c>
    </row>
    <row r="25310" spans="13:13" x14ac:dyDescent="0.25">
      <c r="M25310" t="s">
        <v>278</v>
      </c>
    </row>
    <row r="25311" spans="13:13" x14ac:dyDescent="0.25">
      <c r="M25311" t="s">
        <v>279</v>
      </c>
    </row>
    <row r="25327" spans="13:13" x14ac:dyDescent="0.25">
      <c r="M25327" t="s">
        <v>203</v>
      </c>
    </row>
    <row r="25328" spans="13:13" x14ac:dyDescent="0.25">
      <c r="M25328" t="s">
        <v>204</v>
      </c>
    </row>
    <row r="25329" spans="13:13" x14ac:dyDescent="0.25">
      <c r="M25329" t="s">
        <v>205</v>
      </c>
    </row>
    <row r="25330" spans="13:13" x14ac:dyDescent="0.25">
      <c r="M25330" t="s">
        <v>206</v>
      </c>
    </row>
    <row r="25331" spans="13:13" x14ac:dyDescent="0.25">
      <c r="M25331" t="s">
        <v>207</v>
      </c>
    </row>
    <row r="25332" spans="13:13" x14ac:dyDescent="0.25">
      <c r="M25332" t="s">
        <v>208</v>
      </c>
    </row>
    <row r="25333" spans="13:13" x14ac:dyDescent="0.25">
      <c r="M25333" t="s">
        <v>209</v>
      </c>
    </row>
    <row r="25334" spans="13:13" x14ac:dyDescent="0.25">
      <c r="M25334" t="s">
        <v>210</v>
      </c>
    </row>
    <row r="25354" spans="13:13" x14ac:dyDescent="0.25">
      <c r="M25354" t="s">
        <v>211</v>
      </c>
    </row>
    <row r="25355" spans="13:13" x14ac:dyDescent="0.25">
      <c r="M25355" t="s">
        <v>212</v>
      </c>
    </row>
    <row r="25356" spans="13:13" x14ac:dyDescent="0.25">
      <c r="M25356" t="s">
        <v>213</v>
      </c>
    </row>
    <row r="25357" spans="13:13" x14ac:dyDescent="0.25">
      <c r="M25357" t="s">
        <v>214</v>
      </c>
    </row>
    <row r="25358" spans="13:13" x14ac:dyDescent="0.25">
      <c r="M25358" t="s">
        <v>215</v>
      </c>
    </row>
    <row r="25359" spans="13:13" x14ac:dyDescent="0.25">
      <c r="M25359" t="s">
        <v>216</v>
      </c>
    </row>
    <row r="25360" spans="13:13" x14ac:dyDescent="0.25">
      <c r="M25360" t="s">
        <v>217</v>
      </c>
    </row>
    <row r="25361" spans="13:13" x14ac:dyDescent="0.25">
      <c r="M25361" t="s">
        <v>218</v>
      </c>
    </row>
    <row r="25362" spans="13:13" x14ac:dyDescent="0.25">
      <c r="M25362" t="s">
        <v>219</v>
      </c>
    </row>
    <row r="25363" spans="13:13" x14ac:dyDescent="0.25">
      <c r="M25363" t="s">
        <v>220</v>
      </c>
    </row>
    <row r="25367" spans="13:13" x14ac:dyDescent="0.25">
      <c r="M25367" t="s">
        <v>221</v>
      </c>
    </row>
    <row r="25368" spans="13:13" x14ac:dyDescent="0.25">
      <c r="M25368" t="s">
        <v>222</v>
      </c>
    </row>
    <row r="25369" spans="13:13" x14ac:dyDescent="0.25">
      <c r="M25369" t="s">
        <v>223</v>
      </c>
    </row>
    <row r="25370" spans="13:13" x14ac:dyDescent="0.25">
      <c r="M25370" t="s">
        <v>224</v>
      </c>
    </row>
    <row r="25371" spans="13:13" x14ac:dyDescent="0.25">
      <c r="M25371" t="s">
        <v>225</v>
      </c>
    </row>
    <row r="25372" spans="13:13" x14ac:dyDescent="0.25">
      <c r="M25372" t="s">
        <v>226</v>
      </c>
    </row>
    <row r="25373" spans="13:13" x14ac:dyDescent="0.25">
      <c r="M25373" t="s">
        <v>227</v>
      </c>
    </row>
    <row r="25374" spans="13:13" x14ac:dyDescent="0.25">
      <c r="M25374" t="s">
        <v>228</v>
      </c>
    </row>
    <row r="25375" spans="13:13" x14ac:dyDescent="0.25">
      <c r="M25375" t="s">
        <v>229</v>
      </c>
    </row>
    <row r="25376" spans="13:13" x14ac:dyDescent="0.25">
      <c r="M25376" t="s">
        <v>230</v>
      </c>
    </row>
    <row r="25377" spans="13:13" x14ac:dyDescent="0.25">
      <c r="M25377" t="s">
        <v>231</v>
      </c>
    </row>
    <row r="25378" spans="13:13" x14ac:dyDescent="0.25">
      <c r="M25378" t="s">
        <v>232</v>
      </c>
    </row>
    <row r="25379" spans="13:13" x14ac:dyDescent="0.25">
      <c r="M25379" t="s">
        <v>233</v>
      </c>
    </row>
    <row r="25380" spans="13:13" x14ac:dyDescent="0.25">
      <c r="M25380" t="s">
        <v>234</v>
      </c>
    </row>
    <row r="25381" spans="13:13" x14ac:dyDescent="0.25">
      <c r="M25381" t="s">
        <v>235</v>
      </c>
    </row>
    <row r="25382" spans="13:13" x14ac:dyDescent="0.25">
      <c r="M25382" t="s">
        <v>236</v>
      </c>
    </row>
    <row r="25383" spans="13:13" x14ac:dyDescent="0.25">
      <c r="M25383" t="s">
        <v>237</v>
      </c>
    </row>
    <row r="25384" spans="13:13" x14ac:dyDescent="0.25">
      <c r="M25384" t="s">
        <v>238</v>
      </c>
    </row>
    <row r="25385" spans="13:13" x14ac:dyDescent="0.25">
      <c r="M25385" t="s">
        <v>239</v>
      </c>
    </row>
    <row r="25386" spans="13:13" x14ac:dyDescent="0.25">
      <c r="M25386" t="s">
        <v>240</v>
      </c>
    </row>
    <row r="25387" spans="13:13" x14ac:dyDescent="0.25">
      <c r="M25387" t="s">
        <v>241</v>
      </c>
    </row>
    <row r="25388" spans="13:13" x14ac:dyDescent="0.25">
      <c r="M25388" t="s">
        <v>242</v>
      </c>
    </row>
    <row r="25389" spans="13:13" x14ac:dyDescent="0.25">
      <c r="M25389" t="s">
        <v>243</v>
      </c>
    </row>
    <row r="25390" spans="13:13" x14ac:dyDescent="0.25">
      <c r="M25390" t="s">
        <v>244</v>
      </c>
    </row>
    <row r="25391" spans="13:13" x14ac:dyDescent="0.25">
      <c r="M25391" t="s">
        <v>245</v>
      </c>
    </row>
    <row r="25392" spans="13:13" x14ac:dyDescent="0.25">
      <c r="M25392" t="s">
        <v>246</v>
      </c>
    </row>
    <row r="25393" spans="13:13" x14ac:dyDescent="0.25">
      <c r="M25393" t="s">
        <v>247</v>
      </c>
    </row>
    <row r="25394" spans="13:13" x14ac:dyDescent="0.25">
      <c r="M25394" t="s">
        <v>248</v>
      </c>
    </row>
    <row r="25395" spans="13:13" x14ac:dyDescent="0.25">
      <c r="M25395" t="s">
        <v>249</v>
      </c>
    </row>
    <row r="25396" spans="13:13" x14ac:dyDescent="0.25">
      <c r="M25396" t="s">
        <v>250</v>
      </c>
    </row>
    <row r="25397" spans="13:13" x14ac:dyDescent="0.25">
      <c r="M25397" t="s">
        <v>251</v>
      </c>
    </row>
    <row r="25398" spans="13:13" x14ac:dyDescent="0.25">
      <c r="M25398" t="s">
        <v>252</v>
      </c>
    </row>
    <row r="25399" spans="13:13" x14ac:dyDescent="0.25">
      <c r="M25399" t="s">
        <v>253</v>
      </c>
    </row>
    <row r="25409" spans="13:13" x14ac:dyDescent="0.25">
      <c r="M25409" t="s">
        <v>254</v>
      </c>
    </row>
    <row r="25410" spans="13:13" x14ac:dyDescent="0.25">
      <c r="M25410" t="s">
        <v>83</v>
      </c>
    </row>
    <row r="25424" spans="13:13" x14ac:dyDescent="0.25">
      <c r="M25424" t="s">
        <v>255</v>
      </c>
    </row>
    <row r="25425" spans="13:13" x14ac:dyDescent="0.25">
      <c r="M25425" t="s">
        <v>256</v>
      </c>
    </row>
    <row r="25426" spans="13:13" x14ac:dyDescent="0.25">
      <c r="M25426" t="s">
        <v>257</v>
      </c>
    </row>
    <row r="25427" spans="13:13" x14ac:dyDescent="0.25">
      <c r="M25427" t="s">
        <v>258</v>
      </c>
    </row>
    <row r="25428" spans="13:13" x14ac:dyDescent="0.25">
      <c r="M25428" t="s">
        <v>259</v>
      </c>
    </row>
    <row r="25429" spans="13:13" x14ac:dyDescent="0.25">
      <c r="M25429" t="s">
        <v>260</v>
      </c>
    </row>
    <row r="25430" spans="13:13" x14ac:dyDescent="0.25">
      <c r="M25430" t="s">
        <v>261</v>
      </c>
    </row>
    <row r="25431" spans="13:13" x14ac:dyDescent="0.25">
      <c r="M25431" t="s">
        <v>262</v>
      </c>
    </row>
    <row r="25432" spans="13:13" x14ac:dyDescent="0.25">
      <c r="M25432" t="s">
        <v>263</v>
      </c>
    </row>
    <row r="25483" spans="13:13" x14ac:dyDescent="0.25">
      <c r="M25483" t="s">
        <v>264</v>
      </c>
    </row>
    <row r="25484" spans="13:13" x14ac:dyDescent="0.25">
      <c r="M25484" t="s">
        <v>265</v>
      </c>
    </row>
    <row r="25485" spans="13:13" x14ac:dyDescent="0.25">
      <c r="M25485" t="s">
        <v>266</v>
      </c>
    </row>
    <row r="25534" spans="13:13" x14ac:dyDescent="0.25">
      <c r="M25534" t="s">
        <v>267</v>
      </c>
    </row>
    <row r="25535" spans="13:13" x14ac:dyDescent="0.25">
      <c r="M25535" t="s">
        <v>268</v>
      </c>
    </row>
    <row r="25536" spans="13:13" x14ac:dyDescent="0.25">
      <c r="M25536" t="s">
        <v>269</v>
      </c>
    </row>
    <row r="25537" spans="13:13" x14ac:dyDescent="0.25">
      <c r="M25537" t="s">
        <v>270</v>
      </c>
    </row>
    <row r="25538" spans="13:13" x14ac:dyDescent="0.25">
      <c r="M25538" t="s">
        <v>271</v>
      </c>
    </row>
    <row r="25539" spans="13:13" x14ac:dyDescent="0.25">
      <c r="M25539" t="s">
        <v>272</v>
      </c>
    </row>
    <row r="25560" spans="13:13" x14ac:dyDescent="0.25">
      <c r="M25560" t="s">
        <v>273</v>
      </c>
    </row>
    <row r="25561" spans="13:13" x14ac:dyDescent="0.25">
      <c r="M25561" t="s">
        <v>274</v>
      </c>
    </row>
    <row r="25564" spans="13:13" x14ac:dyDescent="0.25">
      <c r="M25564" t="s">
        <v>275</v>
      </c>
    </row>
    <row r="25565" spans="13:13" x14ac:dyDescent="0.25">
      <c r="M25565" t="s">
        <v>276</v>
      </c>
    </row>
    <row r="25566" spans="13:13" x14ac:dyDescent="0.25">
      <c r="M25566" t="s">
        <v>277</v>
      </c>
    </row>
    <row r="25571" spans="13:13" x14ac:dyDescent="0.25">
      <c r="M25571" t="s">
        <v>278</v>
      </c>
    </row>
    <row r="25572" spans="13:13" x14ac:dyDescent="0.25">
      <c r="M25572" t="s">
        <v>279</v>
      </c>
    </row>
    <row r="25588" spans="13:13" x14ac:dyDescent="0.25">
      <c r="M25588" t="s">
        <v>203</v>
      </c>
    </row>
    <row r="25589" spans="13:13" x14ac:dyDescent="0.25">
      <c r="M25589" t="s">
        <v>204</v>
      </c>
    </row>
    <row r="25590" spans="13:13" x14ac:dyDescent="0.25">
      <c r="M25590" t="s">
        <v>205</v>
      </c>
    </row>
    <row r="25591" spans="13:13" x14ac:dyDescent="0.25">
      <c r="M25591" t="s">
        <v>206</v>
      </c>
    </row>
    <row r="25592" spans="13:13" x14ac:dyDescent="0.25">
      <c r="M25592" t="s">
        <v>207</v>
      </c>
    </row>
    <row r="25593" spans="13:13" x14ac:dyDescent="0.25">
      <c r="M25593" t="s">
        <v>208</v>
      </c>
    </row>
    <row r="25594" spans="13:13" x14ac:dyDescent="0.25">
      <c r="M25594" t="s">
        <v>209</v>
      </c>
    </row>
    <row r="25595" spans="13:13" x14ac:dyDescent="0.25">
      <c r="M25595" t="s">
        <v>210</v>
      </c>
    </row>
    <row r="25615" spans="13:13" x14ac:dyDescent="0.25">
      <c r="M25615" t="s">
        <v>211</v>
      </c>
    </row>
    <row r="25616" spans="13:13" x14ac:dyDescent="0.25">
      <c r="M25616" t="s">
        <v>212</v>
      </c>
    </row>
    <row r="25617" spans="13:13" x14ac:dyDescent="0.25">
      <c r="M25617" t="s">
        <v>213</v>
      </c>
    </row>
    <row r="25618" spans="13:13" x14ac:dyDescent="0.25">
      <c r="M25618" t="s">
        <v>214</v>
      </c>
    </row>
    <row r="25619" spans="13:13" x14ac:dyDescent="0.25">
      <c r="M25619" t="s">
        <v>215</v>
      </c>
    </row>
    <row r="25620" spans="13:13" x14ac:dyDescent="0.25">
      <c r="M25620" t="s">
        <v>216</v>
      </c>
    </row>
    <row r="25621" spans="13:13" x14ac:dyDescent="0.25">
      <c r="M25621" t="s">
        <v>217</v>
      </c>
    </row>
    <row r="25622" spans="13:13" x14ac:dyDescent="0.25">
      <c r="M25622" t="s">
        <v>218</v>
      </c>
    </row>
    <row r="25623" spans="13:13" x14ac:dyDescent="0.25">
      <c r="M25623" t="s">
        <v>219</v>
      </c>
    </row>
    <row r="25624" spans="13:13" x14ac:dyDescent="0.25">
      <c r="M25624" t="s">
        <v>220</v>
      </c>
    </row>
    <row r="25628" spans="13:13" x14ac:dyDescent="0.25">
      <c r="M25628" t="s">
        <v>221</v>
      </c>
    </row>
    <row r="25629" spans="13:13" x14ac:dyDescent="0.25">
      <c r="M25629" t="s">
        <v>222</v>
      </c>
    </row>
    <row r="25630" spans="13:13" x14ac:dyDescent="0.25">
      <c r="M25630" t="s">
        <v>223</v>
      </c>
    </row>
    <row r="25631" spans="13:13" x14ac:dyDescent="0.25">
      <c r="M25631" t="s">
        <v>224</v>
      </c>
    </row>
    <row r="25632" spans="13:13" x14ac:dyDescent="0.25">
      <c r="M25632" t="s">
        <v>225</v>
      </c>
    </row>
    <row r="25633" spans="13:13" x14ac:dyDescent="0.25">
      <c r="M25633" t="s">
        <v>226</v>
      </c>
    </row>
    <row r="25634" spans="13:13" x14ac:dyDescent="0.25">
      <c r="M25634" t="s">
        <v>227</v>
      </c>
    </row>
    <row r="25635" spans="13:13" x14ac:dyDescent="0.25">
      <c r="M25635" t="s">
        <v>228</v>
      </c>
    </row>
    <row r="25636" spans="13:13" x14ac:dyDescent="0.25">
      <c r="M25636" t="s">
        <v>229</v>
      </c>
    </row>
    <row r="25637" spans="13:13" x14ac:dyDescent="0.25">
      <c r="M25637" t="s">
        <v>230</v>
      </c>
    </row>
    <row r="25638" spans="13:13" x14ac:dyDescent="0.25">
      <c r="M25638" t="s">
        <v>231</v>
      </c>
    </row>
    <row r="25639" spans="13:13" x14ac:dyDescent="0.25">
      <c r="M25639" t="s">
        <v>232</v>
      </c>
    </row>
    <row r="25640" spans="13:13" x14ac:dyDescent="0.25">
      <c r="M25640" t="s">
        <v>233</v>
      </c>
    </row>
    <row r="25641" spans="13:13" x14ac:dyDescent="0.25">
      <c r="M25641" t="s">
        <v>234</v>
      </c>
    </row>
    <row r="25642" spans="13:13" x14ac:dyDescent="0.25">
      <c r="M25642" t="s">
        <v>235</v>
      </c>
    </row>
    <row r="25643" spans="13:13" x14ac:dyDescent="0.25">
      <c r="M25643" t="s">
        <v>236</v>
      </c>
    </row>
    <row r="25644" spans="13:13" x14ac:dyDescent="0.25">
      <c r="M25644" t="s">
        <v>237</v>
      </c>
    </row>
    <row r="25645" spans="13:13" x14ac:dyDescent="0.25">
      <c r="M25645" t="s">
        <v>238</v>
      </c>
    </row>
    <row r="25646" spans="13:13" x14ac:dyDescent="0.25">
      <c r="M25646" t="s">
        <v>239</v>
      </c>
    </row>
    <row r="25647" spans="13:13" x14ac:dyDescent="0.25">
      <c r="M25647" t="s">
        <v>240</v>
      </c>
    </row>
    <row r="25648" spans="13:13" x14ac:dyDescent="0.25">
      <c r="M25648" t="s">
        <v>241</v>
      </c>
    </row>
    <row r="25649" spans="13:13" x14ac:dyDescent="0.25">
      <c r="M25649" t="s">
        <v>242</v>
      </c>
    </row>
    <row r="25650" spans="13:13" x14ac:dyDescent="0.25">
      <c r="M25650" t="s">
        <v>243</v>
      </c>
    </row>
    <row r="25651" spans="13:13" x14ac:dyDescent="0.25">
      <c r="M25651" t="s">
        <v>244</v>
      </c>
    </row>
    <row r="25652" spans="13:13" x14ac:dyDescent="0.25">
      <c r="M25652" t="s">
        <v>245</v>
      </c>
    </row>
    <row r="25653" spans="13:13" x14ac:dyDescent="0.25">
      <c r="M25653" t="s">
        <v>246</v>
      </c>
    </row>
    <row r="25654" spans="13:13" x14ac:dyDescent="0.25">
      <c r="M25654" t="s">
        <v>247</v>
      </c>
    </row>
    <row r="25655" spans="13:13" x14ac:dyDescent="0.25">
      <c r="M25655" t="s">
        <v>248</v>
      </c>
    </row>
    <row r="25656" spans="13:13" x14ac:dyDescent="0.25">
      <c r="M25656" t="s">
        <v>249</v>
      </c>
    </row>
    <row r="25657" spans="13:13" x14ac:dyDescent="0.25">
      <c r="M25657" t="s">
        <v>250</v>
      </c>
    </row>
    <row r="25658" spans="13:13" x14ac:dyDescent="0.25">
      <c r="M25658" t="s">
        <v>251</v>
      </c>
    </row>
    <row r="25659" spans="13:13" x14ac:dyDescent="0.25">
      <c r="M25659" t="s">
        <v>252</v>
      </c>
    </row>
    <row r="25660" spans="13:13" x14ac:dyDescent="0.25">
      <c r="M25660" t="s">
        <v>253</v>
      </c>
    </row>
    <row r="25670" spans="13:13" x14ac:dyDescent="0.25">
      <c r="M25670" t="s">
        <v>254</v>
      </c>
    </row>
    <row r="25671" spans="13:13" x14ac:dyDescent="0.25">
      <c r="M25671" t="s">
        <v>83</v>
      </c>
    </row>
    <row r="25685" spans="13:13" x14ac:dyDescent="0.25">
      <c r="M25685" t="s">
        <v>255</v>
      </c>
    </row>
    <row r="25686" spans="13:13" x14ac:dyDescent="0.25">
      <c r="M25686" t="s">
        <v>256</v>
      </c>
    </row>
    <row r="25687" spans="13:13" x14ac:dyDescent="0.25">
      <c r="M25687" t="s">
        <v>257</v>
      </c>
    </row>
    <row r="25688" spans="13:13" x14ac:dyDescent="0.25">
      <c r="M25688" t="s">
        <v>258</v>
      </c>
    </row>
    <row r="25689" spans="13:13" x14ac:dyDescent="0.25">
      <c r="M25689" t="s">
        <v>259</v>
      </c>
    </row>
    <row r="25690" spans="13:13" x14ac:dyDescent="0.25">
      <c r="M25690" t="s">
        <v>260</v>
      </c>
    </row>
    <row r="25691" spans="13:13" x14ac:dyDescent="0.25">
      <c r="M25691" t="s">
        <v>261</v>
      </c>
    </row>
    <row r="25692" spans="13:13" x14ac:dyDescent="0.25">
      <c r="M25692" t="s">
        <v>262</v>
      </c>
    </row>
    <row r="25693" spans="13:13" x14ac:dyDescent="0.25">
      <c r="M25693" t="s">
        <v>263</v>
      </c>
    </row>
    <row r="25744" spans="13:13" x14ac:dyDescent="0.25">
      <c r="M25744" t="s">
        <v>264</v>
      </c>
    </row>
    <row r="25745" spans="13:13" x14ac:dyDescent="0.25">
      <c r="M25745" t="s">
        <v>265</v>
      </c>
    </row>
    <row r="25746" spans="13:13" x14ac:dyDescent="0.25">
      <c r="M25746" t="s">
        <v>266</v>
      </c>
    </row>
    <row r="25795" spans="13:13" x14ac:dyDescent="0.25">
      <c r="M25795" t="s">
        <v>267</v>
      </c>
    </row>
    <row r="25796" spans="13:13" x14ac:dyDescent="0.25">
      <c r="M25796" t="s">
        <v>268</v>
      </c>
    </row>
    <row r="25797" spans="13:13" x14ac:dyDescent="0.25">
      <c r="M25797" t="s">
        <v>269</v>
      </c>
    </row>
    <row r="25798" spans="13:13" x14ac:dyDescent="0.25">
      <c r="M25798" t="s">
        <v>270</v>
      </c>
    </row>
    <row r="25799" spans="13:13" x14ac:dyDescent="0.25">
      <c r="M25799" t="s">
        <v>271</v>
      </c>
    </row>
    <row r="25800" spans="13:13" x14ac:dyDescent="0.25">
      <c r="M25800" t="s">
        <v>272</v>
      </c>
    </row>
    <row r="25821" spans="13:13" x14ac:dyDescent="0.25">
      <c r="M25821" t="s">
        <v>273</v>
      </c>
    </row>
    <row r="25822" spans="13:13" x14ac:dyDescent="0.25">
      <c r="M25822" t="s">
        <v>274</v>
      </c>
    </row>
    <row r="25825" spans="13:13" x14ac:dyDescent="0.25">
      <c r="M25825" t="s">
        <v>275</v>
      </c>
    </row>
    <row r="25826" spans="13:13" x14ac:dyDescent="0.25">
      <c r="M25826" t="s">
        <v>276</v>
      </c>
    </row>
    <row r="25827" spans="13:13" x14ac:dyDescent="0.25">
      <c r="M25827" t="s">
        <v>277</v>
      </c>
    </row>
    <row r="25832" spans="13:13" x14ac:dyDescent="0.25">
      <c r="M25832" t="s">
        <v>278</v>
      </c>
    </row>
    <row r="25833" spans="13:13" x14ac:dyDescent="0.25">
      <c r="M25833" t="s">
        <v>279</v>
      </c>
    </row>
    <row r="25849" spans="13:13" x14ac:dyDescent="0.25">
      <c r="M25849" t="s">
        <v>203</v>
      </c>
    </row>
    <row r="25850" spans="13:13" x14ac:dyDescent="0.25">
      <c r="M25850" t="s">
        <v>204</v>
      </c>
    </row>
    <row r="25851" spans="13:13" x14ac:dyDescent="0.25">
      <c r="M25851" t="s">
        <v>205</v>
      </c>
    </row>
    <row r="25852" spans="13:13" x14ac:dyDescent="0.25">
      <c r="M25852" t="s">
        <v>206</v>
      </c>
    </row>
    <row r="25853" spans="13:13" x14ac:dyDescent="0.25">
      <c r="M25853" t="s">
        <v>207</v>
      </c>
    </row>
    <row r="25854" spans="13:13" x14ac:dyDescent="0.25">
      <c r="M25854" t="s">
        <v>208</v>
      </c>
    </row>
    <row r="25855" spans="13:13" x14ac:dyDescent="0.25">
      <c r="M25855" t="s">
        <v>209</v>
      </c>
    </row>
    <row r="25856" spans="13:13" x14ac:dyDescent="0.25">
      <c r="M25856" t="s">
        <v>210</v>
      </c>
    </row>
    <row r="25876" spans="13:13" x14ac:dyDescent="0.25">
      <c r="M25876" t="s">
        <v>211</v>
      </c>
    </row>
    <row r="25877" spans="13:13" x14ac:dyDescent="0.25">
      <c r="M25877" t="s">
        <v>212</v>
      </c>
    </row>
    <row r="25878" spans="13:13" x14ac:dyDescent="0.25">
      <c r="M25878" t="s">
        <v>213</v>
      </c>
    </row>
    <row r="25879" spans="13:13" x14ac:dyDescent="0.25">
      <c r="M25879" t="s">
        <v>214</v>
      </c>
    </row>
    <row r="25880" spans="13:13" x14ac:dyDescent="0.25">
      <c r="M25880" t="s">
        <v>215</v>
      </c>
    </row>
    <row r="25881" spans="13:13" x14ac:dyDescent="0.25">
      <c r="M25881" t="s">
        <v>216</v>
      </c>
    </row>
    <row r="25882" spans="13:13" x14ac:dyDescent="0.25">
      <c r="M25882" t="s">
        <v>217</v>
      </c>
    </row>
    <row r="25883" spans="13:13" x14ac:dyDescent="0.25">
      <c r="M25883" t="s">
        <v>218</v>
      </c>
    </row>
    <row r="25884" spans="13:13" x14ac:dyDescent="0.25">
      <c r="M25884" t="s">
        <v>219</v>
      </c>
    </row>
    <row r="25885" spans="13:13" x14ac:dyDescent="0.25">
      <c r="M25885" t="s">
        <v>220</v>
      </c>
    </row>
    <row r="25889" spans="13:13" x14ac:dyDescent="0.25">
      <c r="M25889" t="s">
        <v>221</v>
      </c>
    </row>
    <row r="25890" spans="13:13" x14ac:dyDescent="0.25">
      <c r="M25890" t="s">
        <v>222</v>
      </c>
    </row>
    <row r="25891" spans="13:13" x14ac:dyDescent="0.25">
      <c r="M25891" t="s">
        <v>223</v>
      </c>
    </row>
    <row r="25892" spans="13:13" x14ac:dyDescent="0.25">
      <c r="M25892" t="s">
        <v>224</v>
      </c>
    </row>
    <row r="25893" spans="13:13" x14ac:dyDescent="0.25">
      <c r="M25893" t="s">
        <v>225</v>
      </c>
    </row>
    <row r="25894" spans="13:13" x14ac:dyDescent="0.25">
      <c r="M25894" t="s">
        <v>226</v>
      </c>
    </row>
    <row r="25895" spans="13:13" x14ac:dyDescent="0.25">
      <c r="M25895" t="s">
        <v>227</v>
      </c>
    </row>
    <row r="25896" spans="13:13" x14ac:dyDescent="0.25">
      <c r="M25896" t="s">
        <v>228</v>
      </c>
    </row>
    <row r="25897" spans="13:13" x14ac:dyDescent="0.25">
      <c r="M25897" t="s">
        <v>229</v>
      </c>
    </row>
    <row r="25898" spans="13:13" x14ac:dyDescent="0.25">
      <c r="M25898" t="s">
        <v>230</v>
      </c>
    </row>
    <row r="25899" spans="13:13" x14ac:dyDescent="0.25">
      <c r="M25899" t="s">
        <v>231</v>
      </c>
    </row>
    <row r="25900" spans="13:13" x14ac:dyDescent="0.25">
      <c r="M25900" t="s">
        <v>232</v>
      </c>
    </row>
    <row r="25901" spans="13:13" x14ac:dyDescent="0.25">
      <c r="M25901" t="s">
        <v>233</v>
      </c>
    </row>
    <row r="25902" spans="13:13" x14ac:dyDescent="0.25">
      <c r="M25902" t="s">
        <v>234</v>
      </c>
    </row>
    <row r="25903" spans="13:13" x14ac:dyDescent="0.25">
      <c r="M25903" t="s">
        <v>235</v>
      </c>
    </row>
    <row r="25904" spans="13:13" x14ac:dyDescent="0.25">
      <c r="M25904" t="s">
        <v>236</v>
      </c>
    </row>
    <row r="25905" spans="13:13" x14ac:dyDescent="0.25">
      <c r="M25905" t="s">
        <v>237</v>
      </c>
    </row>
    <row r="25906" spans="13:13" x14ac:dyDescent="0.25">
      <c r="M25906" t="s">
        <v>238</v>
      </c>
    </row>
    <row r="25907" spans="13:13" x14ac:dyDescent="0.25">
      <c r="M25907" t="s">
        <v>239</v>
      </c>
    </row>
    <row r="25908" spans="13:13" x14ac:dyDescent="0.25">
      <c r="M25908" t="s">
        <v>240</v>
      </c>
    </row>
    <row r="25909" spans="13:13" x14ac:dyDescent="0.25">
      <c r="M25909" t="s">
        <v>241</v>
      </c>
    </row>
    <row r="25910" spans="13:13" x14ac:dyDescent="0.25">
      <c r="M25910" t="s">
        <v>242</v>
      </c>
    </row>
    <row r="25911" spans="13:13" x14ac:dyDescent="0.25">
      <c r="M25911" t="s">
        <v>243</v>
      </c>
    </row>
    <row r="25912" spans="13:13" x14ac:dyDescent="0.25">
      <c r="M25912" t="s">
        <v>244</v>
      </c>
    </row>
    <row r="25913" spans="13:13" x14ac:dyDescent="0.25">
      <c r="M25913" t="s">
        <v>245</v>
      </c>
    </row>
    <row r="25914" spans="13:13" x14ac:dyDescent="0.25">
      <c r="M25914" t="s">
        <v>246</v>
      </c>
    </row>
    <row r="25915" spans="13:13" x14ac:dyDescent="0.25">
      <c r="M25915" t="s">
        <v>247</v>
      </c>
    </row>
    <row r="25916" spans="13:13" x14ac:dyDescent="0.25">
      <c r="M25916" t="s">
        <v>248</v>
      </c>
    </row>
    <row r="25917" spans="13:13" x14ac:dyDescent="0.25">
      <c r="M25917" t="s">
        <v>249</v>
      </c>
    </row>
    <row r="25918" spans="13:13" x14ac:dyDescent="0.25">
      <c r="M25918" t="s">
        <v>250</v>
      </c>
    </row>
    <row r="25919" spans="13:13" x14ac:dyDescent="0.25">
      <c r="M25919" t="s">
        <v>251</v>
      </c>
    </row>
    <row r="25920" spans="13:13" x14ac:dyDescent="0.25">
      <c r="M25920" t="s">
        <v>252</v>
      </c>
    </row>
    <row r="25921" spans="13:13" x14ac:dyDescent="0.25">
      <c r="M25921" t="s">
        <v>253</v>
      </c>
    </row>
    <row r="25931" spans="13:13" x14ac:dyDescent="0.25">
      <c r="M25931" t="s">
        <v>254</v>
      </c>
    </row>
    <row r="25932" spans="13:13" x14ac:dyDescent="0.25">
      <c r="M25932" t="s">
        <v>83</v>
      </c>
    </row>
    <row r="25946" spans="13:13" x14ac:dyDescent="0.25">
      <c r="M25946" t="s">
        <v>255</v>
      </c>
    </row>
    <row r="25947" spans="13:13" x14ac:dyDescent="0.25">
      <c r="M25947" t="s">
        <v>256</v>
      </c>
    </row>
    <row r="25948" spans="13:13" x14ac:dyDescent="0.25">
      <c r="M25948" t="s">
        <v>257</v>
      </c>
    </row>
    <row r="25949" spans="13:13" x14ac:dyDescent="0.25">
      <c r="M25949" t="s">
        <v>258</v>
      </c>
    </row>
    <row r="25950" spans="13:13" x14ac:dyDescent="0.25">
      <c r="M25950" t="s">
        <v>259</v>
      </c>
    </row>
    <row r="25951" spans="13:13" x14ac:dyDescent="0.25">
      <c r="M25951" t="s">
        <v>260</v>
      </c>
    </row>
    <row r="25952" spans="13:13" x14ac:dyDescent="0.25">
      <c r="M25952" t="s">
        <v>261</v>
      </c>
    </row>
    <row r="25953" spans="13:13" x14ac:dyDescent="0.25">
      <c r="M25953" t="s">
        <v>262</v>
      </c>
    </row>
    <row r="25954" spans="13:13" x14ac:dyDescent="0.25">
      <c r="M25954" t="s">
        <v>263</v>
      </c>
    </row>
    <row r="26005" spans="13:13" x14ac:dyDescent="0.25">
      <c r="M26005" t="s">
        <v>264</v>
      </c>
    </row>
    <row r="26006" spans="13:13" x14ac:dyDescent="0.25">
      <c r="M26006" t="s">
        <v>265</v>
      </c>
    </row>
    <row r="26007" spans="13:13" x14ac:dyDescent="0.25">
      <c r="M26007" t="s">
        <v>266</v>
      </c>
    </row>
    <row r="26056" spans="13:13" x14ac:dyDescent="0.25">
      <c r="M26056" t="s">
        <v>267</v>
      </c>
    </row>
    <row r="26057" spans="13:13" x14ac:dyDescent="0.25">
      <c r="M26057" t="s">
        <v>268</v>
      </c>
    </row>
    <row r="26058" spans="13:13" x14ac:dyDescent="0.25">
      <c r="M26058" t="s">
        <v>269</v>
      </c>
    </row>
    <row r="26059" spans="13:13" x14ac:dyDescent="0.25">
      <c r="M26059" t="s">
        <v>270</v>
      </c>
    </row>
    <row r="26060" spans="13:13" x14ac:dyDescent="0.25">
      <c r="M26060" t="s">
        <v>271</v>
      </c>
    </row>
    <row r="26061" spans="13:13" x14ac:dyDescent="0.25">
      <c r="M26061" t="s">
        <v>272</v>
      </c>
    </row>
    <row r="26082" spans="13:13" x14ac:dyDescent="0.25">
      <c r="M26082" t="s">
        <v>273</v>
      </c>
    </row>
    <row r="26083" spans="13:13" x14ac:dyDescent="0.25">
      <c r="M26083" t="s">
        <v>274</v>
      </c>
    </row>
    <row r="26086" spans="13:13" x14ac:dyDescent="0.25">
      <c r="M26086" t="s">
        <v>275</v>
      </c>
    </row>
    <row r="26087" spans="13:13" x14ac:dyDescent="0.25">
      <c r="M26087" t="s">
        <v>276</v>
      </c>
    </row>
    <row r="26088" spans="13:13" x14ac:dyDescent="0.25">
      <c r="M26088" t="s">
        <v>277</v>
      </c>
    </row>
    <row r="26093" spans="13:13" x14ac:dyDescent="0.25">
      <c r="M26093" t="s">
        <v>278</v>
      </c>
    </row>
    <row r="26094" spans="13:13" x14ac:dyDescent="0.25">
      <c r="M26094" t="s">
        <v>279</v>
      </c>
    </row>
    <row r="26110" spans="13:13" x14ac:dyDescent="0.25">
      <c r="M26110" t="s">
        <v>203</v>
      </c>
    </row>
    <row r="26111" spans="13:13" x14ac:dyDescent="0.25">
      <c r="M26111" t="s">
        <v>204</v>
      </c>
    </row>
    <row r="26112" spans="13:13" x14ac:dyDescent="0.25">
      <c r="M26112" t="s">
        <v>205</v>
      </c>
    </row>
    <row r="26113" spans="13:13" x14ac:dyDescent="0.25">
      <c r="M26113" t="s">
        <v>206</v>
      </c>
    </row>
    <row r="26114" spans="13:13" x14ac:dyDescent="0.25">
      <c r="M26114" t="s">
        <v>207</v>
      </c>
    </row>
    <row r="26115" spans="13:13" x14ac:dyDescent="0.25">
      <c r="M26115" t="s">
        <v>208</v>
      </c>
    </row>
    <row r="26116" spans="13:13" x14ac:dyDescent="0.25">
      <c r="M26116" t="s">
        <v>209</v>
      </c>
    </row>
    <row r="26117" spans="13:13" x14ac:dyDescent="0.25">
      <c r="M26117" t="s">
        <v>210</v>
      </c>
    </row>
    <row r="26137" spans="13:13" x14ac:dyDescent="0.25">
      <c r="M26137" t="s">
        <v>211</v>
      </c>
    </row>
    <row r="26138" spans="13:13" x14ac:dyDescent="0.25">
      <c r="M26138" t="s">
        <v>212</v>
      </c>
    </row>
    <row r="26139" spans="13:13" x14ac:dyDescent="0.25">
      <c r="M26139" t="s">
        <v>213</v>
      </c>
    </row>
    <row r="26140" spans="13:13" x14ac:dyDescent="0.25">
      <c r="M26140" t="s">
        <v>214</v>
      </c>
    </row>
    <row r="26141" spans="13:13" x14ac:dyDescent="0.25">
      <c r="M26141" t="s">
        <v>215</v>
      </c>
    </row>
    <row r="26142" spans="13:13" x14ac:dyDescent="0.25">
      <c r="M26142" t="s">
        <v>216</v>
      </c>
    </row>
    <row r="26143" spans="13:13" x14ac:dyDescent="0.25">
      <c r="M26143" t="s">
        <v>217</v>
      </c>
    </row>
    <row r="26144" spans="13:13" x14ac:dyDescent="0.25">
      <c r="M26144" t="s">
        <v>218</v>
      </c>
    </row>
    <row r="26145" spans="13:13" x14ac:dyDescent="0.25">
      <c r="M26145" t="s">
        <v>219</v>
      </c>
    </row>
    <row r="26146" spans="13:13" x14ac:dyDescent="0.25">
      <c r="M26146" t="s">
        <v>220</v>
      </c>
    </row>
    <row r="26150" spans="13:13" x14ac:dyDescent="0.25">
      <c r="M26150" t="s">
        <v>221</v>
      </c>
    </row>
    <row r="26151" spans="13:13" x14ac:dyDescent="0.25">
      <c r="M26151" t="s">
        <v>222</v>
      </c>
    </row>
    <row r="26152" spans="13:13" x14ac:dyDescent="0.25">
      <c r="M26152" t="s">
        <v>223</v>
      </c>
    </row>
    <row r="26153" spans="13:13" x14ac:dyDescent="0.25">
      <c r="M26153" t="s">
        <v>224</v>
      </c>
    </row>
    <row r="26154" spans="13:13" x14ac:dyDescent="0.25">
      <c r="M26154" t="s">
        <v>225</v>
      </c>
    </row>
    <row r="26155" spans="13:13" x14ac:dyDescent="0.25">
      <c r="M26155" t="s">
        <v>226</v>
      </c>
    </row>
    <row r="26156" spans="13:13" x14ac:dyDescent="0.25">
      <c r="M26156" t="s">
        <v>227</v>
      </c>
    </row>
    <row r="26157" spans="13:13" x14ac:dyDescent="0.25">
      <c r="M26157" t="s">
        <v>228</v>
      </c>
    </row>
    <row r="26158" spans="13:13" x14ac:dyDescent="0.25">
      <c r="M26158" t="s">
        <v>229</v>
      </c>
    </row>
    <row r="26159" spans="13:13" x14ac:dyDescent="0.25">
      <c r="M26159" t="s">
        <v>230</v>
      </c>
    </row>
    <row r="26160" spans="13:13" x14ac:dyDescent="0.25">
      <c r="M26160" t="s">
        <v>231</v>
      </c>
    </row>
    <row r="26161" spans="13:13" x14ac:dyDescent="0.25">
      <c r="M26161" t="s">
        <v>232</v>
      </c>
    </row>
    <row r="26162" spans="13:13" x14ac:dyDescent="0.25">
      <c r="M26162" t="s">
        <v>233</v>
      </c>
    </row>
    <row r="26163" spans="13:13" x14ac:dyDescent="0.25">
      <c r="M26163" t="s">
        <v>234</v>
      </c>
    </row>
    <row r="26164" spans="13:13" x14ac:dyDescent="0.25">
      <c r="M26164" t="s">
        <v>235</v>
      </c>
    </row>
    <row r="26165" spans="13:13" x14ac:dyDescent="0.25">
      <c r="M26165" t="s">
        <v>236</v>
      </c>
    </row>
    <row r="26166" spans="13:13" x14ac:dyDescent="0.25">
      <c r="M26166" t="s">
        <v>237</v>
      </c>
    </row>
    <row r="26167" spans="13:13" x14ac:dyDescent="0.25">
      <c r="M26167" t="s">
        <v>238</v>
      </c>
    </row>
    <row r="26168" spans="13:13" x14ac:dyDescent="0.25">
      <c r="M26168" t="s">
        <v>239</v>
      </c>
    </row>
    <row r="26169" spans="13:13" x14ac:dyDescent="0.25">
      <c r="M26169" t="s">
        <v>240</v>
      </c>
    </row>
    <row r="26170" spans="13:13" x14ac:dyDescent="0.25">
      <c r="M26170" t="s">
        <v>241</v>
      </c>
    </row>
    <row r="26171" spans="13:13" x14ac:dyDescent="0.25">
      <c r="M26171" t="s">
        <v>242</v>
      </c>
    </row>
    <row r="26172" spans="13:13" x14ac:dyDescent="0.25">
      <c r="M26172" t="s">
        <v>243</v>
      </c>
    </row>
    <row r="26173" spans="13:13" x14ac:dyDescent="0.25">
      <c r="M26173" t="s">
        <v>244</v>
      </c>
    </row>
    <row r="26174" spans="13:13" x14ac:dyDescent="0.25">
      <c r="M26174" t="s">
        <v>245</v>
      </c>
    </row>
    <row r="26175" spans="13:13" x14ac:dyDescent="0.25">
      <c r="M26175" t="s">
        <v>246</v>
      </c>
    </row>
    <row r="26176" spans="13:13" x14ac:dyDescent="0.25">
      <c r="M26176" t="s">
        <v>247</v>
      </c>
    </row>
    <row r="26177" spans="13:13" x14ac:dyDescent="0.25">
      <c r="M26177" t="s">
        <v>248</v>
      </c>
    </row>
    <row r="26178" spans="13:13" x14ac:dyDescent="0.25">
      <c r="M26178" t="s">
        <v>249</v>
      </c>
    </row>
    <row r="26179" spans="13:13" x14ac:dyDescent="0.25">
      <c r="M26179" t="s">
        <v>250</v>
      </c>
    </row>
    <row r="26180" spans="13:13" x14ac:dyDescent="0.25">
      <c r="M26180" t="s">
        <v>251</v>
      </c>
    </row>
    <row r="26181" spans="13:13" x14ac:dyDescent="0.25">
      <c r="M26181" t="s">
        <v>252</v>
      </c>
    </row>
    <row r="26182" spans="13:13" x14ac:dyDescent="0.25">
      <c r="M26182" t="s">
        <v>253</v>
      </c>
    </row>
    <row r="26192" spans="13:13" x14ac:dyDescent="0.25">
      <c r="M26192" t="s">
        <v>254</v>
      </c>
    </row>
    <row r="26193" spans="13:13" x14ac:dyDescent="0.25">
      <c r="M26193" t="s">
        <v>83</v>
      </c>
    </row>
    <row r="26207" spans="13:13" x14ac:dyDescent="0.25">
      <c r="M26207" t="s">
        <v>255</v>
      </c>
    </row>
    <row r="26208" spans="13:13" x14ac:dyDescent="0.25">
      <c r="M26208" t="s">
        <v>256</v>
      </c>
    </row>
    <row r="26209" spans="13:13" x14ac:dyDescent="0.25">
      <c r="M26209" t="s">
        <v>257</v>
      </c>
    </row>
    <row r="26210" spans="13:13" x14ac:dyDescent="0.25">
      <c r="M26210" t="s">
        <v>258</v>
      </c>
    </row>
    <row r="26211" spans="13:13" x14ac:dyDescent="0.25">
      <c r="M26211" t="s">
        <v>259</v>
      </c>
    </row>
    <row r="26212" spans="13:13" x14ac:dyDescent="0.25">
      <c r="M26212" t="s">
        <v>260</v>
      </c>
    </row>
    <row r="26213" spans="13:13" x14ac:dyDescent="0.25">
      <c r="M26213" t="s">
        <v>261</v>
      </c>
    </row>
    <row r="26214" spans="13:13" x14ac:dyDescent="0.25">
      <c r="M26214" t="s">
        <v>262</v>
      </c>
    </row>
    <row r="26215" spans="13:13" x14ac:dyDescent="0.25">
      <c r="M26215" t="s">
        <v>263</v>
      </c>
    </row>
    <row r="26266" spans="13:13" x14ac:dyDescent="0.25">
      <c r="M26266" t="s">
        <v>264</v>
      </c>
    </row>
    <row r="26267" spans="13:13" x14ac:dyDescent="0.25">
      <c r="M26267" t="s">
        <v>265</v>
      </c>
    </row>
    <row r="26268" spans="13:13" x14ac:dyDescent="0.25">
      <c r="M26268" t="s">
        <v>266</v>
      </c>
    </row>
    <row r="26317" spans="13:13" x14ac:dyDescent="0.25">
      <c r="M26317" t="s">
        <v>267</v>
      </c>
    </row>
    <row r="26318" spans="13:13" x14ac:dyDescent="0.25">
      <c r="M26318" t="s">
        <v>268</v>
      </c>
    </row>
    <row r="26319" spans="13:13" x14ac:dyDescent="0.25">
      <c r="M26319" t="s">
        <v>269</v>
      </c>
    </row>
    <row r="26320" spans="13:13" x14ac:dyDescent="0.25">
      <c r="M26320" t="s">
        <v>270</v>
      </c>
    </row>
    <row r="26321" spans="13:13" x14ac:dyDescent="0.25">
      <c r="M26321" t="s">
        <v>271</v>
      </c>
    </row>
    <row r="26322" spans="13:13" x14ac:dyDescent="0.25">
      <c r="M26322" t="s">
        <v>272</v>
      </c>
    </row>
    <row r="26343" spans="13:13" x14ac:dyDescent="0.25">
      <c r="M26343" t="s">
        <v>273</v>
      </c>
    </row>
    <row r="26344" spans="13:13" x14ac:dyDescent="0.25">
      <c r="M26344" t="s">
        <v>274</v>
      </c>
    </row>
    <row r="26347" spans="13:13" x14ac:dyDescent="0.25">
      <c r="M26347" t="s">
        <v>275</v>
      </c>
    </row>
    <row r="26348" spans="13:13" x14ac:dyDescent="0.25">
      <c r="M26348" t="s">
        <v>276</v>
      </c>
    </row>
    <row r="26349" spans="13:13" x14ac:dyDescent="0.25">
      <c r="M26349" t="s">
        <v>277</v>
      </c>
    </row>
    <row r="26354" spans="13:13" x14ac:dyDescent="0.25">
      <c r="M26354" t="s">
        <v>278</v>
      </c>
    </row>
    <row r="26355" spans="13:13" x14ac:dyDescent="0.25">
      <c r="M26355" t="s">
        <v>279</v>
      </c>
    </row>
    <row r="26371" spans="13:13" x14ac:dyDescent="0.25">
      <c r="M26371" t="s">
        <v>203</v>
      </c>
    </row>
    <row r="26372" spans="13:13" x14ac:dyDescent="0.25">
      <c r="M26372" t="s">
        <v>204</v>
      </c>
    </row>
    <row r="26373" spans="13:13" x14ac:dyDescent="0.25">
      <c r="M26373" t="s">
        <v>205</v>
      </c>
    </row>
    <row r="26374" spans="13:13" x14ac:dyDescent="0.25">
      <c r="M26374" t="s">
        <v>206</v>
      </c>
    </row>
    <row r="26375" spans="13:13" x14ac:dyDescent="0.25">
      <c r="M26375" t="s">
        <v>207</v>
      </c>
    </row>
    <row r="26376" spans="13:13" x14ac:dyDescent="0.25">
      <c r="M26376" t="s">
        <v>208</v>
      </c>
    </row>
    <row r="26377" spans="13:13" x14ac:dyDescent="0.25">
      <c r="M26377" t="s">
        <v>209</v>
      </c>
    </row>
    <row r="26378" spans="13:13" x14ac:dyDescent="0.25">
      <c r="M26378" t="s">
        <v>210</v>
      </c>
    </row>
    <row r="26398" spans="13:13" x14ac:dyDescent="0.25">
      <c r="M26398" t="s">
        <v>211</v>
      </c>
    </row>
    <row r="26399" spans="13:13" x14ac:dyDescent="0.25">
      <c r="M26399" t="s">
        <v>212</v>
      </c>
    </row>
    <row r="26400" spans="13:13" x14ac:dyDescent="0.25">
      <c r="M26400" t="s">
        <v>213</v>
      </c>
    </row>
    <row r="26401" spans="13:13" x14ac:dyDescent="0.25">
      <c r="M26401" t="s">
        <v>214</v>
      </c>
    </row>
    <row r="26402" spans="13:13" x14ac:dyDescent="0.25">
      <c r="M26402" t="s">
        <v>215</v>
      </c>
    </row>
    <row r="26403" spans="13:13" x14ac:dyDescent="0.25">
      <c r="M26403" t="s">
        <v>216</v>
      </c>
    </row>
    <row r="26404" spans="13:13" x14ac:dyDescent="0.25">
      <c r="M26404" t="s">
        <v>217</v>
      </c>
    </row>
    <row r="26405" spans="13:13" x14ac:dyDescent="0.25">
      <c r="M26405" t="s">
        <v>218</v>
      </c>
    </row>
    <row r="26406" spans="13:13" x14ac:dyDescent="0.25">
      <c r="M26406" t="s">
        <v>219</v>
      </c>
    </row>
    <row r="26407" spans="13:13" x14ac:dyDescent="0.25">
      <c r="M26407" t="s">
        <v>220</v>
      </c>
    </row>
    <row r="26411" spans="13:13" x14ac:dyDescent="0.25">
      <c r="M26411" t="s">
        <v>221</v>
      </c>
    </row>
    <row r="26412" spans="13:13" x14ac:dyDescent="0.25">
      <c r="M26412" t="s">
        <v>222</v>
      </c>
    </row>
    <row r="26413" spans="13:13" x14ac:dyDescent="0.25">
      <c r="M26413" t="s">
        <v>223</v>
      </c>
    </row>
    <row r="26414" spans="13:13" x14ac:dyDescent="0.25">
      <c r="M26414" t="s">
        <v>224</v>
      </c>
    </row>
    <row r="26415" spans="13:13" x14ac:dyDescent="0.25">
      <c r="M26415" t="s">
        <v>225</v>
      </c>
    </row>
    <row r="26416" spans="13:13" x14ac:dyDescent="0.25">
      <c r="M26416" t="s">
        <v>226</v>
      </c>
    </row>
    <row r="26417" spans="13:13" x14ac:dyDescent="0.25">
      <c r="M26417" t="s">
        <v>227</v>
      </c>
    </row>
    <row r="26418" spans="13:13" x14ac:dyDescent="0.25">
      <c r="M26418" t="s">
        <v>228</v>
      </c>
    </row>
    <row r="26419" spans="13:13" x14ac:dyDescent="0.25">
      <c r="M26419" t="s">
        <v>229</v>
      </c>
    </row>
    <row r="26420" spans="13:13" x14ac:dyDescent="0.25">
      <c r="M26420" t="s">
        <v>230</v>
      </c>
    </row>
    <row r="26421" spans="13:13" x14ac:dyDescent="0.25">
      <c r="M26421" t="s">
        <v>231</v>
      </c>
    </row>
    <row r="26422" spans="13:13" x14ac:dyDescent="0.25">
      <c r="M26422" t="s">
        <v>232</v>
      </c>
    </row>
    <row r="26423" spans="13:13" x14ac:dyDescent="0.25">
      <c r="M26423" t="s">
        <v>233</v>
      </c>
    </row>
    <row r="26424" spans="13:13" x14ac:dyDescent="0.25">
      <c r="M26424" t="s">
        <v>234</v>
      </c>
    </row>
    <row r="26425" spans="13:13" x14ac:dyDescent="0.25">
      <c r="M26425" t="s">
        <v>235</v>
      </c>
    </row>
    <row r="26426" spans="13:13" x14ac:dyDescent="0.25">
      <c r="M26426" t="s">
        <v>236</v>
      </c>
    </row>
    <row r="26427" spans="13:13" x14ac:dyDescent="0.25">
      <c r="M26427" t="s">
        <v>237</v>
      </c>
    </row>
    <row r="26428" spans="13:13" x14ac:dyDescent="0.25">
      <c r="M26428" t="s">
        <v>238</v>
      </c>
    </row>
    <row r="26429" spans="13:13" x14ac:dyDescent="0.25">
      <c r="M26429" t="s">
        <v>239</v>
      </c>
    </row>
    <row r="26430" spans="13:13" x14ac:dyDescent="0.25">
      <c r="M26430" t="s">
        <v>240</v>
      </c>
    </row>
    <row r="26431" spans="13:13" x14ac:dyDescent="0.25">
      <c r="M26431" t="s">
        <v>241</v>
      </c>
    </row>
    <row r="26432" spans="13:13" x14ac:dyDescent="0.25">
      <c r="M26432" t="s">
        <v>242</v>
      </c>
    </row>
    <row r="26433" spans="13:13" x14ac:dyDescent="0.25">
      <c r="M26433" t="s">
        <v>243</v>
      </c>
    </row>
    <row r="26434" spans="13:13" x14ac:dyDescent="0.25">
      <c r="M26434" t="s">
        <v>244</v>
      </c>
    </row>
    <row r="26435" spans="13:13" x14ac:dyDescent="0.25">
      <c r="M26435" t="s">
        <v>245</v>
      </c>
    </row>
    <row r="26436" spans="13:13" x14ac:dyDescent="0.25">
      <c r="M26436" t="s">
        <v>246</v>
      </c>
    </row>
    <row r="26437" spans="13:13" x14ac:dyDescent="0.25">
      <c r="M26437" t="s">
        <v>247</v>
      </c>
    </row>
    <row r="26438" spans="13:13" x14ac:dyDescent="0.25">
      <c r="M26438" t="s">
        <v>248</v>
      </c>
    </row>
    <row r="26439" spans="13:13" x14ac:dyDescent="0.25">
      <c r="M26439" t="s">
        <v>249</v>
      </c>
    </row>
    <row r="26440" spans="13:13" x14ac:dyDescent="0.25">
      <c r="M26440" t="s">
        <v>250</v>
      </c>
    </row>
    <row r="26441" spans="13:13" x14ac:dyDescent="0.25">
      <c r="M26441" t="s">
        <v>251</v>
      </c>
    </row>
    <row r="26442" spans="13:13" x14ac:dyDescent="0.25">
      <c r="M26442" t="s">
        <v>252</v>
      </c>
    </row>
    <row r="26443" spans="13:13" x14ac:dyDescent="0.25">
      <c r="M26443" t="s">
        <v>253</v>
      </c>
    </row>
    <row r="26453" spans="13:13" x14ac:dyDescent="0.25">
      <c r="M26453" t="s">
        <v>254</v>
      </c>
    </row>
    <row r="26454" spans="13:13" x14ac:dyDescent="0.25">
      <c r="M26454" t="s">
        <v>83</v>
      </c>
    </row>
    <row r="26468" spans="13:13" x14ac:dyDescent="0.25">
      <c r="M26468" t="s">
        <v>255</v>
      </c>
    </row>
    <row r="26469" spans="13:13" x14ac:dyDescent="0.25">
      <c r="M26469" t="s">
        <v>256</v>
      </c>
    </row>
    <row r="26470" spans="13:13" x14ac:dyDescent="0.25">
      <c r="M26470" t="s">
        <v>257</v>
      </c>
    </row>
    <row r="26471" spans="13:13" x14ac:dyDescent="0.25">
      <c r="M26471" t="s">
        <v>258</v>
      </c>
    </row>
    <row r="26472" spans="13:13" x14ac:dyDescent="0.25">
      <c r="M26472" t="s">
        <v>259</v>
      </c>
    </row>
    <row r="26473" spans="13:13" x14ac:dyDescent="0.25">
      <c r="M26473" t="s">
        <v>260</v>
      </c>
    </row>
    <row r="26474" spans="13:13" x14ac:dyDescent="0.25">
      <c r="M26474" t="s">
        <v>261</v>
      </c>
    </row>
    <row r="26475" spans="13:13" x14ac:dyDescent="0.25">
      <c r="M26475" t="s">
        <v>262</v>
      </c>
    </row>
    <row r="26476" spans="13:13" x14ac:dyDescent="0.25">
      <c r="M26476" t="s">
        <v>263</v>
      </c>
    </row>
    <row r="26527" spans="13:13" x14ac:dyDescent="0.25">
      <c r="M26527" t="s">
        <v>264</v>
      </c>
    </row>
    <row r="26528" spans="13:13" x14ac:dyDescent="0.25">
      <c r="M26528" t="s">
        <v>265</v>
      </c>
    </row>
    <row r="26529" spans="13:13" x14ac:dyDescent="0.25">
      <c r="M26529" t="s">
        <v>266</v>
      </c>
    </row>
    <row r="26578" spans="13:13" x14ac:dyDescent="0.25">
      <c r="M26578" t="s">
        <v>267</v>
      </c>
    </row>
    <row r="26579" spans="13:13" x14ac:dyDescent="0.25">
      <c r="M26579" t="s">
        <v>268</v>
      </c>
    </row>
    <row r="26580" spans="13:13" x14ac:dyDescent="0.25">
      <c r="M26580" t="s">
        <v>269</v>
      </c>
    </row>
    <row r="26581" spans="13:13" x14ac:dyDescent="0.25">
      <c r="M26581" t="s">
        <v>270</v>
      </c>
    </row>
    <row r="26582" spans="13:13" x14ac:dyDescent="0.25">
      <c r="M26582" t="s">
        <v>271</v>
      </c>
    </row>
    <row r="26583" spans="13:13" x14ac:dyDescent="0.25">
      <c r="M26583" t="s">
        <v>272</v>
      </c>
    </row>
    <row r="26604" spans="13:13" x14ac:dyDescent="0.25">
      <c r="M26604" t="s">
        <v>273</v>
      </c>
    </row>
    <row r="26605" spans="13:13" x14ac:dyDescent="0.25">
      <c r="M26605" t="s">
        <v>274</v>
      </c>
    </row>
    <row r="26608" spans="13:13" x14ac:dyDescent="0.25">
      <c r="M26608" t="s">
        <v>275</v>
      </c>
    </row>
    <row r="26609" spans="13:13" x14ac:dyDescent="0.25">
      <c r="M26609" t="s">
        <v>276</v>
      </c>
    </row>
    <row r="26610" spans="13:13" x14ac:dyDescent="0.25">
      <c r="M26610" t="s">
        <v>277</v>
      </c>
    </row>
    <row r="26615" spans="13:13" x14ac:dyDescent="0.25">
      <c r="M26615" t="s">
        <v>278</v>
      </c>
    </row>
    <row r="26616" spans="13:13" x14ac:dyDescent="0.25">
      <c r="M26616" t="s">
        <v>279</v>
      </c>
    </row>
    <row r="26632" spans="13:13" x14ac:dyDescent="0.25">
      <c r="M26632" t="s">
        <v>203</v>
      </c>
    </row>
    <row r="26633" spans="13:13" x14ac:dyDescent="0.25">
      <c r="M26633" t="s">
        <v>204</v>
      </c>
    </row>
    <row r="26634" spans="13:13" x14ac:dyDescent="0.25">
      <c r="M26634" t="s">
        <v>205</v>
      </c>
    </row>
    <row r="26635" spans="13:13" x14ac:dyDescent="0.25">
      <c r="M26635" t="s">
        <v>206</v>
      </c>
    </row>
    <row r="26636" spans="13:13" x14ac:dyDescent="0.25">
      <c r="M26636" t="s">
        <v>207</v>
      </c>
    </row>
    <row r="26637" spans="13:13" x14ac:dyDescent="0.25">
      <c r="M26637" t="s">
        <v>208</v>
      </c>
    </row>
    <row r="26638" spans="13:13" x14ac:dyDescent="0.25">
      <c r="M26638" t="s">
        <v>209</v>
      </c>
    </row>
    <row r="26639" spans="13:13" x14ac:dyDescent="0.25">
      <c r="M26639" t="s">
        <v>210</v>
      </c>
    </row>
    <row r="26659" spans="13:13" x14ac:dyDescent="0.25">
      <c r="M26659" t="s">
        <v>211</v>
      </c>
    </row>
    <row r="26660" spans="13:13" x14ac:dyDescent="0.25">
      <c r="M26660" t="s">
        <v>212</v>
      </c>
    </row>
    <row r="26661" spans="13:13" x14ac:dyDescent="0.25">
      <c r="M26661" t="s">
        <v>213</v>
      </c>
    </row>
    <row r="26662" spans="13:13" x14ac:dyDescent="0.25">
      <c r="M26662" t="s">
        <v>214</v>
      </c>
    </row>
    <row r="26663" spans="13:13" x14ac:dyDescent="0.25">
      <c r="M26663" t="s">
        <v>215</v>
      </c>
    </row>
    <row r="26664" spans="13:13" x14ac:dyDescent="0.25">
      <c r="M26664" t="s">
        <v>216</v>
      </c>
    </row>
    <row r="26665" spans="13:13" x14ac:dyDescent="0.25">
      <c r="M26665" t="s">
        <v>217</v>
      </c>
    </row>
    <row r="26666" spans="13:13" x14ac:dyDescent="0.25">
      <c r="M26666" t="s">
        <v>218</v>
      </c>
    </row>
    <row r="26667" spans="13:13" x14ac:dyDescent="0.25">
      <c r="M26667" t="s">
        <v>219</v>
      </c>
    </row>
    <row r="26668" spans="13:13" x14ac:dyDescent="0.25">
      <c r="M26668" t="s">
        <v>220</v>
      </c>
    </row>
    <row r="26672" spans="13:13" x14ac:dyDescent="0.25">
      <c r="M26672" t="s">
        <v>221</v>
      </c>
    </row>
    <row r="26673" spans="13:13" x14ac:dyDescent="0.25">
      <c r="M26673" t="s">
        <v>222</v>
      </c>
    </row>
    <row r="26674" spans="13:13" x14ac:dyDescent="0.25">
      <c r="M26674" t="s">
        <v>223</v>
      </c>
    </row>
    <row r="26675" spans="13:13" x14ac:dyDescent="0.25">
      <c r="M26675" t="s">
        <v>224</v>
      </c>
    </row>
    <row r="26676" spans="13:13" x14ac:dyDescent="0.25">
      <c r="M26676" t="s">
        <v>225</v>
      </c>
    </row>
    <row r="26677" spans="13:13" x14ac:dyDescent="0.25">
      <c r="M26677" t="s">
        <v>226</v>
      </c>
    </row>
    <row r="26678" spans="13:13" x14ac:dyDescent="0.25">
      <c r="M26678" t="s">
        <v>227</v>
      </c>
    </row>
    <row r="26679" spans="13:13" x14ac:dyDescent="0.25">
      <c r="M26679" t="s">
        <v>228</v>
      </c>
    </row>
    <row r="26680" spans="13:13" x14ac:dyDescent="0.25">
      <c r="M26680" t="s">
        <v>229</v>
      </c>
    </row>
    <row r="26681" spans="13:13" x14ac:dyDescent="0.25">
      <c r="M26681" t="s">
        <v>230</v>
      </c>
    </row>
    <row r="26682" spans="13:13" x14ac:dyDescent="0.25">
      <c r="M26682" t="s">
        <v>231</v>
      </c>
    </row>
    <row r="26683" spans="13:13" x14ac:dyDescent="0.25">
      <c r="M26683" t="s">
        <v>232</v>
      </c>
    </row>
    <row r="26684" spans="13:13" x14ac:dyDescent="0.25">
      <c r="M26684" t="s">
        <v>233</v>
      </c>
    </row>
    <row r="26685" spans="13:13" x14ac:dyDescent="0.25">
      <c r="M26685" t="s">
        <v>234</v>
      </c>
    </row>
    <row r="26686" spans="13:13" x14ac:dyDescent="0.25">
      <c r="M26686" t="s">
        <v>235</v>
      </c>
    </row>
    <row r="26687" spans="13:13" x14ac:dyDescent="0.25">
      <c r="M26687" t="s">
        <v>236</v>
      </c>
    </row>
    <row r="26688" spans="13:13" x14ac:dyDescent="0.25">
      <c r="M26688" t="s">
        <v>237</v>
      </c>
    </row>
    <row r="26689" spans="13:13" x14ac:dyDescent="0.25">
      <c r="M26689" t="s">
        <v>238</v>
      </c>
    </row>
    <row r="26690" spans="13:13" x14ac:dyDescent="0.25">
      <c r="M26690" t="s">
        <v>239</v>
      </c>
    </row>
    <row r="26691" spans="13:13" x14ac:dyDescent="0.25">
      <c r="M26691" t="s">
        <v>240</v>
      </c>
    </row>
    <row r="26692" spans="13:13" x14ac:dyDescent="0.25">
      <c r="M26692" t="s">
        <v>241</v>
      </c>
    </row>
    <row r="26693" spans="13:13" x14ac:dyDescent="0.25">
      <c r="M26693" t="s">
        <v>242</v>
      </c>
    </row>
    <row r="26694" spans="13:13" x14ac:dyDescent="0.25">
      <c r="M26694" t="s">
        <v>243</v>
      </c>
    </row>
    <row r="26695" spans="13:13" x14ac:dyDescent="0.25">
      <c r="M26695" t="s">
        <v>244</v>
      </c>
    </row>
    <row r="26696" spans="13:13" x14ac:dyDescent="0.25">
      <c r="M26696" t="s">
        <v>245</v>
      </c>
    </row>
    <row r="26697" spans="13:13" x14ac:dyDescent="0.25">
      <c r="M26697" t="s">
        <v>246</v>
      </c>
    </row>
    <row r="26698" spans="13:13" x14ac:dyDescent="0.25">
      <c r="M26698" t="s">
        <v>247</v>
      </c>
    </row>
    <row r="26699" spans="13:13" x14ac:dyDescent="0.25">
      <c r="M26699" t="s">
        <v>248</v>
      </c>
    </row>
    <row r="26700" spans="13:13" x14ac:dyDescent="0.25">
      <c r="M26700" t="s">
        <v>249</v>
      </c>
    </row>
    <row r="26701" spans="13:13" x14ac:dyDescent="0.25">
      <c r="M26701" t="s">
        <v>250</v>
      </c>
    </row>
    <row r="26702" spans="13:13" x14ac:dyDescent="0.25">
      <c r="M26702" t="s">
        <v>251</v>
      </c>
    </row>
    <row r="26703" spans="13:13" x14ac:dyDescent="0.25">
      <c r="M26703" t="s">
        <v>252</v>
      </c>
    </row>
    <row r="26704" spans="13:13" x14ac:dyDescent="0.25">
      <c r="M26704" t="s">
        <v>253</v>
      </c>
    </row>
    <row r="26714" spans="13:13" x14ac:dyDescent="0.25">
      <c r="M26714" t="s">
        <v>254</v>
      </c>
    </row>
    <row r="26715" spans="13:13" x14ac:dyDescent="0.25">
      <c r="M26715" t="s">
        <v>83</v>
      </c>
    </row>
    <row r="26729" spans="13:13" x14ac:dyDescent="0.25">
      <c r="M26729" t="s">
        <v>255</v>
      </c>
    </row>
    <row r="26730" spans="13:13" x14ac:dyDescent="0.25">
      <c r="M26730" t="s">
        <v>256</v>
      </c>
    </row>
    <row r="26731" spans="13:13" x14ac:dyDescent="0.25">
      <c r="M26731" t="s">
        <v>257</v>
      </c>
    </row>
    <row r="26732" spans="13:13" x14ac:dyDescent="0.25">
      <c r="M26732" t="s">
        <v>258</v>
      </c>
    </row>
    <row r="26733" spans="13:13" x14ac:dyDescent="0.25">
      <c r="M26733" t="s">
        <v>259</v>
      </c>
    </row>
    <row r="26734" spans="13:13" x14ac:dyDescent="0.25">
      <c r="M26734" t="s">
        <v>260</v>
      </c>
    </row>
    <row r="26735" spans="13:13" x14ac:dyDescent="0.25">
      <c r="M26735" t="s">
        <v>261</v>
      </c>
    </row>
    <row r="26736" spans="13:13" x14ac:dyDescent="0.25">
      <c r="M26736" t="s">
        <v>262</v>
      </c>
    </row>
    <row r="26737" spans="13:13" x14ac:dyDescent="0.25">
      <c r="M26737" t="s">
        <v>263</v>
      </c>
    </row>
    <row r="26788" spans="13:13" x14ac:dyDescent="0.25">
      <c r="M26788" t="s">
        <v>264</v>
      </c>
    </row>
    <row r="26789" spans="13:13" x14ac:dyDescent="0.25">
      <c r="M26789" t="s">
        <v>265</v>
      </c>
    </row>
    <row r="26790" spans="13:13" x14ac:dyDescent="0.25">
      <c r="M26790" t="s">
        <v>266</v>
      </c>
    </row>
    <row r="26839" spans="13:13" x14ac:dyDescent="0.25">
      <c r="M26839" t="s">
        <v>267</v>
      </c>
    </row>
    <row r="26840" spans="13:13" x14ac:dyDescent="0.25">
      <c r="M26840" t="s">
        <v>268</v>
      </c>
    </row>
    <row r="26841" spans="13:13" x14ac:dyDescent="0.25">
      <c r="M26841" t="s">
        <v>269</v>
      </c>
    </row>
    <row r="26842" spans="13:13" x14ac:dyDescent="0.25">
      <c r="M26842" t="s">
        <v>270</v>
      </c>
    </row>
    <row r="26843" spans="13:13" x14ac:dyDescent="0.25">
      <c r="M26843" t="s">
        <v>271</v>
      </c>
    </row>
    <row r="26844" spans="13:13" x14ac:dyDescent="0.25">
      <c r="M26844" t="s">
        <v>272</v>
      </c>
    </row>
    <row r="26865" spans="13:13" x14ac:dyDescent="0.25">
      <c r="M26865" t="s">
        <v>273</v>
      </c>
    </row>
    <row r="26866" spans="13:13" x14ac:dyDescent="0.25">
      <c r="M26866" t="s">
        <v>274</v>
      </c>
    </row>
    <row r="26869" spans="13:13" x14ac:dyDescent="0.25">
      <c r="M26869" t="s">
        <v>275</v>
      </c>
    </row>
    <row r="26870" spans="13:13" x14ac:dyDescent="0.25">
      <c r="M26870" t="s">
        <v>276</v>
      </c>
    </row>
    <row r="26871" spans="13:13" x14ac:dyDescent="0.25">
      <c r="M26871" t="s">
        <v>277</v>
      </c>
    </row>
    <row r="26876" spans="13:13" x14ac:dyDescent="0.25">
      <c r="M26876" t="s">
        <v>278</v>
      </c>
    </row>
    <row r="26877" spans="13:13" x14ac:dyDescent="0.25">
      <c r="M26877" t="s">
        <v>279</v>
      </c>
    </row>
    <row r="26893" spans="13:13" x14ac:dyDescent="0.25">
      <c r="M26893" t="s">
        <v>203</v>
      </c>
    </row>
    <row r="26894" spans="13:13" x14ac:dyDescent="0.25">
      <c r="M26894" t="s">
        <v>204</v>
      </c>
    </row>
    <row r="26895" spans="13:13" x14ac:dyDescent="0.25">
      <c r="M26895" t="s">
        <v>205</v>
      </c>
    </row>
    <row r="26896" spans="13:13" x14ac:dyDescent="0.25">
      <c r="M26896" t="s">
        <v>206</v>
      </c>
    </row>
    <row r="26897" spans="13:13" x14ac:dyDescent="0.25">
      <c r="M26897" t="s">
        <v>207</v>
      </c>
    </row>
    <row r="26898" spans="13:13" x14ac:dyDescent="0.25">
      <c r="M26898" t="s">
        <v>208</v>
      </c>
    </row>
    <row r="26899" spans="13:13" x14ac:dyDescent="0.25">
      <c r="M26899" t="s">
        <v>209</v>
      </c>
    </row>
    <row r="26900" spans="13:13" x14ac:dyDescent="0.25">
      <c r="M26900" t="s">
        <v>210</v>
      </c>
    </row>
    <row r="26920" spans="13:13" x14ac:dyDescent="0.25">
      <c r="M26920" t="s">
        <v>211</v>
      </c>
    </row>
    <row r="26921" spans="13:13" x14ac:dyDescent="0.25">
      <c r="M26921" t="s">
        <v>212</v>
      </c>
    </row>
    <row r="26922" spans="13:13" x14ac:dyDescent="0.25">
      <c r="M26922" t="s">
        <v>213</v>
      </c>
    </row>
    <row r="26923" spans="13:13" x14ac:dyDescent="0.25">
      <c r="M26923" t="s">
        <v>214</v>
      </c>
    </row>
    <row r="26924" spans="13:13" x14ac:dyDescent="0.25">
      <c r="M26924" t="s">
        <v>215</v>
      </c>
    </row>
    <row r="26925" spans="13:13" x14ac:dyDescent="0.25">
      <c r="M26925" t="s">
        <v>216</v>
      </c>
    </row>
    <row r="26926" spans="13:13" x14ac:dyDescent="0.25">
      <c r="M26926" t="s">
        <v>217</v>
      </c>
    </row>
    <row r="26927" spans="13:13" x14ac:dyDescent="0.25">
      <c r="M26927" t="s">
        <v>218</v>
      </c>
    </row>
    <row r="26928" spans="13:13" x14ac:dyDescent="0.25">
      <c r="M26928" t="s">
        <v>219</v>
      </c>
    </row>
    <row r="26929" spans="13:13" x14ac:dyDescent="0.25">
      <c r="M26929" t="s">
        <v>220</v>
      </c>
    </row>
    <row r="26933" spans="13:13" x14ac:dyDescent="0.25">
      <c r="M26933" t="s">
        <v>221</v>
      </c>
    </row>
    <row r="26934" spans="13:13" x14ac:dyDescent="0.25">
      <c r="M26934" t="s">
        <v>222</v>
      </c>
    </row>
    <row r="26935" spans="13:13" x14ac:dyDescent="0.25">
      <c r="M26935" t="s">
        <v>223</v>
      </c>
    </row>
    <row r="26936" spans="13:13" x14ac:dyDescent="0.25">
      <c r="M26936" t="s">
        <v>224</v>
      </c>
    </row>
    <row r="26937" spans="13:13" x14ac:dyDescent="0.25">
      <c r="M26937" t="s">
        <v>225</v>
      </c>
    </row>
    <row r="26938" spans="13:13" x14ac:dyDescent="0.25">
      <c r="M26938" t="s">
        <v>226</v>
      </c>
    </row>
    <row r="26939" spans="13:13" x14ac:dyDescent="0.25">
      <c r="M26939" t="s">
        <v>227</v>
      </c>
    </row>
    <row r="26940" spans="13:13" x14ac:dyDescent="0.25">
      <c r="M26940" t="s">
        <v>228</v>
      </c>
    </row>
    <row r="26941" spans="13:13" x14ac:dyDescent="0.25">
      <c r="M26941" t="s">
        <v>229</v>
      </c>
    </row>
    <row r="26942" spans="13:13" x14ac:dyDescent="0.25">
      <c r="M26942" t="s">
        <v>230</v>
      </c>
    </row>
    <row r="26943" spans="13:13" x14ac:dyDescent="0.25">
      <c r="M26943" t="s">
        <v>231</v>
      </c>
    </row>
    <row r="26944" spans="13:13" x14ac:dyDescent="0.25">
      <c r="M26944" t="s">
        <v>232</v>
      </c>
    </row>
    <row r="26945" spans="13:13" x14ac:dyDescent="0.25">
      <c r="M26945" t="s">
        <v>233</v>
      </c>
    </row>
    <row r="26946" spans="13:13" x14ac:dyDescent="0.25">
      <c r="M26946" t="s">
        <v>234</v>
      </c>
    </row>
    <row r="26947" spans="13:13" x14ac:dyDescent="0.25">
      <c r="M26947" t="s">
        <v>235</v>
      </c>
    </row>
    <row r="26948" spans="13:13" x14ac:dyDescent="0.25">
      <c r="M26948" t="s">
        <v>236</v>
      </c>
    </row>
    <row r="26949" spans="13:13" x14ac:dyDescent="0.25">
      <c r="M26949" t="s">
        <v>237</v>
      </c>
    </row>
    <row r="26950" spans="13:13" x14ac:dyDescent="0.25">
      <c r="M26950" t="s">
        <v>238</v>
      </c>
    </row>
    <row r="26951" spans="13:13" x14ac:dyDescent="0.25">
      <c r="M26951" t="s">
        <v>239</v>
      </c>
    </row>
    <row r="26952" spans="13:13" x14ac:dyDescent="0.25">
      <c r="M26952" t="s">
        <v>240</v>
      </c>
    </row>
    <row r="26953" spans="13:13" x14ac:dyDescent="0.25">
      <c r="M26953" t="s">
        <v>241</v>
      </c>
    </row>
    <row r="26954" spans="13:13" x14ac:dyDescent="0.25">
      <c r="M26954" t="s">
        <v>242</v>
      </c>
    </row>
    <row r="26955" spans="13:13" x14ac:dyDescent="0.25">
      <c r="M26955" t="s">
        <v>243</v>
      </c>
    </row>
    <row r="26956" spans="13:13" x14ac:dyDescent="0.25">
      <c r="M26956" t="s">
        <v>244</v>
      </c>
    </row>
    <row r="26957" spans="13:13" x14ac:dyDescent="0.25">
      <c r="M26957" t="s">
        <v>245</v>
      </c>
    </row>
    <row r="26958" spans="13:13" x14ac:dyDescent="0.25">
      <c r="M26958" t="s">
        <v>246</v>
      </c>
    </row>
    <row r="26959" spans="13:13" x14ac:dyDescent="0.25">
      <c r="M26959" t="s">
        <v>247</v>
      </c>
    </row>
    <row r="26960" spans="13:13" x14ac:dyDescent="0.25">
      <c r="M26960" t="s">
        <v>248</v>
      </c>
    </row>
    <row r="26961" spans="13:13" x14ac:dyDescent="0.25">
      <c r="M26961" t="s">
        <v>249</v>
      </c>
    </row>
    <row r="26962" spans="13:13" x14ac:dyDescent="0.25">
      <c r="M26962" t="s">
        <v>250</v>
      </c>
    </row>
    <row r="26963" spans="13:13" x14ac:dyDescent="0.25">
      <c r="M26963" t="s">
        <v>251</v>
      </c>
    </row>
    <row r="26964" spans="13:13" x14ac:dyDescent="0.25">
      <c r="M26964" t="s">
        <v>252</v>
      </c>
    </row>
    <row r="26965" spans="13:13" x14ac:dyDescent="0.25">
      <c r="M26965" t="s">
        <v>253</v>
      </c>
    </row>
    <row r="26975" spans="13:13" x14ac:dyDescent="0.25">
      <c r="M26975" t="s">
        <v>254</v>
      </c>
    </row>
    <row r="26976" spans="13:13" x14ac:dyDescent="0.25">
      <c r="M26976" t="s">
        <v>83</v>
      </c>
    </row>
    <row r="26990" spans="13:13" x14ac:dyDescent="0.25">
      <c r="M26990" t="s">
        <v>255</v>
      </c>
    </row>
    <row r="26991" spans="13:13" x14ac:dyDescent="0.25">
      <c r="M26991" t="s">
        <v>256</v>
      </c>
    </row>
    <row r="26992" spans="13:13" x14ac:dyDescent="0.25">
      <c r="M26992" t="s">
        <v>257</v>
      </c>
    </row>
    <row r="26993" spans="13:13" x14ac:dyDescent="0.25">
      <c r="M26993" t="s">
        <v>258</v>
      </c>
    </row>
    <row r="26994" spans="13:13" x14ac:dyDescent="0.25">
      <c r="M26994" t="s">
        <v>259</v>
      </c>
    </row>
    <row r="26995" spans="13:13" x14ac:dyDescent="0.25">
      <c r="M26995" t="s">
        <v>260</v>
      </c>
    </row>
    <row r="26996" spans="13:13" x14ac:dyDescent="0.25">
      <c r="M26996" t="s">
        <v>261</v>
      </c>
    </row>
    <row r="26997" spans="13:13" x14ac:dyDescent="0.25">
      <c r="M26997" t="s">
        <v>262</v>
      </c>
    </row>
    <row r="26998" spans="13:13" x14ac:dyDescent="0.25">
      <c r="M26998" t="s">
        <v>263</v>
      </c>
    </row>
    <row r="27049" spans="13:13" x14ac:dyDescent="0.25">
      <c r="M27049" t="s">
        <v>264</v>
      </c>
    </row>
    <row r="27050" spans="13:13" x14ac:dyDescent="0.25">
      <c r="M27050" t="s">
        <v>265</v>
      </c>
    </row>
    <row r="27051" spans="13:13" x14ac:dyDescent="0.25">
      <c r="M27051" t="s">
        <v>266</v>
      </c>
    </row>
    <row r="27100" spans="13:13" x14ac:dyDescent="0.25">
      <c r="M27100" t="s">
        <v>267</v>
      </c>
    </row>
    <row r="27101" spans="13:13" x14ac:dyDescent="0.25">
      <c r="M27101" t="s">
        <v>268</v>
      </c>
    </row>
    <row r="27102" spans="13:13" x14ac:dyDescent="0.25">
      <c r="M27102" t="s">
        <v>269</v>
      </c>
    </row>
    <row r="27103" spans="13:13" x14ac:dyDescent="0.25">
      <c r="M27103" t="s">
        <v>270</v>
      </c>
    </row>
    <row r="27104" spans="13:13" x14ac:dyDescent="0.25">
      <c r="M27104" t="s">
        <v>271</v>
      </c>
    </row>
    <row r="27105" spans="13:13" x14ac:dyDescent="0.25">
      <c r="M27105" t="s">
        <v>272</v>
      </c>
    </row>
    <row r="27126" spans="13:13" x14ac:dyDescent="0.25">
      <c r="M27126" t="s">
        <v>273</v>
      </c>
    </row>
    <row r="27127" spans="13:13" x14ac:dyDescent="0.25">
      <c r="M27127" t="s">
        <v>274</v>
      </c>
    </row>
    <row r="27130" spans="13:13" x14ac:dyDescent="0.25">
      <c r="M27130" t="s">
        <v>275</v>
      </c>
    </row>
    <row r="27131" spans="13:13" x14ac:dyDescent="0.25">
      <c r="M27131" t="s">
        <v>276</v>
      </c>
    </row>
    <row r="27132" spans="13:13" x14ac:dyDescent="0.25">
      <c r="M27132" t="s">
        <v>277</v>
      </c>
    </row>
    <row r="27137" spans="13:13" x14ac:dyDescent="0.25">
      <c r="M27137" t="s">
        <v>278</v>
      </c>
    </row>
    <row r="27138" spans="13:13" x14ac:dyDescent="0.25">
      <c r="M27138" t="s">
        <v>279</v>
      </c>
    </row>
    <row r="27154" spans="13:13" x14ac:dyDescent="0.25">
      <c r="M27154" t="s">
        <v>203</v>
      </c>
    </row>
    <row r="27155" spans="13:13" x14ac:dyDescent="0.25">
      <c r="M27155" t="s">
        <v>204</v>
      </c>
    </row>
    <row r="27156" spans="13:13" x14ac:dyDescent="0.25">
      <c r="M27156" t="s">
        <v>205</v>
      </c>
    </row>
    <row r="27157" spans="13:13" x14ac:dyDescent="0.25">
      <c r="M27157" t="s">
        <v>206</v>
      </c>
    </row>
    <row r="27158" spans="13:13" x14ac:dyDescent="0.25">
      <c r="M27158" t="s">
        <v>207</v>
      </c>
    </row>
    <row r="27159" spans="13:13" x14ac:dyDescent="0.25">
      <c r="M27159" t="s">
        <v>208</v>
      </c>
    </row>
    <row r="27160" spans="13:13" x14ac:dyDescent="0.25">
      <c r="M27160" t="s">
        <v>209</v>
      </c>
    </row>
    <row r="27161" spans="13:13" x14ac:dyDescent="0.25">
      <c r="M27161" t="s">
        <v>210</v>
      </c>
    </row>
    <row r="27181" spans="13:13" x14ac:dyDescent="0.25">
      <c r="M27181" t="s">
        <v>211</v>
      </c>
    </row>
    <row r="27182" spans="13:13" x14ac:dyDescent="0.25">
      <c r="M27182" t="s">
        <v>212</v>
      </c>
    </row>
    <row r="27183" spans="13:13" x14ac:dyDescent="0.25">
      <c r="M27183" t="s">
        <v>213</v>
      </c>
    </row>
    <row r="27184" spans="13:13" x14ac:dyDescent="0.25">
      <c r="M27184" t="s">
        <v>214</v>
      </c>
    </row>
    <row r="27185" spans="13:13" x14ac:dyDescent="0.25">
      <c r="M27185" t="s">
        <v>215</v>
      </c>
    </row>
    <row r="27186" spans="13:13" x14ac:dyDescent="0.25">
      <c r="M27186" t="s">
        <v>216</v>
      </c>
    </row>
    <row r="27187" spans="13:13" x14ac:dyDescent="0.25">
      <c r="M27187" t="s">
        <v>217</v>
      </c>
    </row>
    <row r="27188" spans="13:13" x14ac:dyDescent="0.25">
      <c r="M27188" t="s">
        <v>218</v>
      </c>
    </row>
    <row r="27189" spans="13:13" x14ac:dyDescent="0.25">
      <c r="M27189" t="s">
        <v>219</v>
      </c>
    </row>
    <row r="27190" spans="13:13" x14ac:dyDescent="0.25">
      <c r="M27190" t="s">
        <v>220</v>
      </c>
    </row>
    <row r="27194" spans="13:13" x14ac:dyDescent="0.25">
      <c r="M27194" t="s">
        <v>221</v>
      </c>
    </row>
    <row r="27195" spans="13:13" x14ac:dyDescent="0.25">
      <c r="M27195" t="s">
        <v>222</v>
      </c>
    </row>
    <row r="27196" spans="13:13" x14ac:dyDescent="0.25">
      <c r="M27196" t="s">
        <v>223</v>
      </c>
    </row>
    <row r="27197" spans="13:13" x14ac:dyDescent="0.25">
      <c r="M27197" t="s">
        <v>224</v>
      </c>
    </row>
    <row r="27198" spans="13:13" x14ac:dyDescent="0.25">
      <c r="M27198" t="s">
        <v>225</v>
      </c>
    </row>
    <row r="27199" spans="13:13" x14ac:dyDescent="0.25">
      <c r="M27199" t="s">
        <v>226</v>
      </c>
    </row>
    <row r="27200" spans="13:13" x14ac:dyDescent="0.25">
      <c r="M27200" t="s">
        <v>227</v>
      </c>
    </row>
    <row r="27201" spans="13:13" x14ac:dyDescent="0.25">
      <c r="M27201" t="s">
        <v>228</v>
      </c>
    </row>
    <row r="27202" spans="13:13" x14ac:dyDescent="0.25">
      <c r="M27202" t="s">
        <v>229</v>
      </c>
    </row>
    <row r="27203" spans="13:13" x14ac:dyDescent="0.25">
      <c r="M27203" t="s">
        <v>230</v>
      </c>
    </row>
    <row r="27204" spans="13:13" x14ac:dyDescent="0.25">
      <c r="M27204" t="s">
        <v>231</v>
      </c>
    </row>
    <row r="27205" spans="13:13" x14ac:dyDescent="0.25">
      <c r="M27205" t="s">
        <v>232</v>
      </c>
    </row>
    <row r="27206" spans="13:13" x14ac:dyDescent="0.25">
      <c r="M27206" t="s">
        <v>233</v>
      </c>
    </row>
    <row r="27207" spans="13:13" x14ac:dyDescent="0.25">
      <c r="M27207" t="s">
        <v>234</v>
      </c>
    </row>
    <row r="27208" spans="13:13" x14ac:dyDescent="0.25">
      <c r="M27208" t="s">
        <v>235</v>
      </c>
    </row>
    <row r="27209" spans="13:13" x14ac:dyDescent="0.25">
      <c r="M27209" t="s">
        <v>236</v>
      </c>
    </row>
    <row r="27210" spans="13:13" x14ac:dyDescent="0.25">
      <c r="M27210" t="s">
        <v>237</v>
      </c>
    </row>
    <row r="27211" spans="13:13" x14ac:dyDescent="0.25">
      <c r="M27211" t="s">
        <v>238</v>
      </c>
    </row>
    <row r="27212" spans="13:13" x14ac:dyDescent="0.25">
      <c r="M27212" t="s">
        <v>239</v>
      </c>
    </row>
    <row r="27213" spans="13:13" x14ac:dyDescent="0.25">
      <c r="M27213" t="s">
        <v>240</v>
      </c>
    </row>
    <row r="27214" spans="13:13" x14ac:dyDescent="0.25">
      <c r="M27214" t="s">
        <v>241</v>
      </c>
    </row>
    <row r="27215" spans="13:13" x14ac:dyDescent="0.25">
      <c r="M27215" t="s">
        <v>242</v>
      </c>
    </row>
    <row r="27216" spans="13:13" x14ac:dyDescent="0.25">
      <c r="M27216" t="s">
        <v>243</v>
      </c>
    </row>
    <row r="27217" spans="13:13" x14ac:dyDescent="0.25">
      <c r="M27217" t="s">
        <v>244</v>
      </c>
    </row>
    <row r="27218" spans="13:13" x14ac:dyDescent="0.25">
      <c r="M27218" t="s">
        <v>245</v>
      </c>
    </row>
    <row r="27219" spans="13:13" x14ac:dyDescent="0.25">
      <c r="M27219" t="s">
        <v>246</v>
      </c>
    </row>
    <row r="27220" spans="13:13" x14ac:dyDescent="0.25">
      <c r="M27220" t="s">
        <v>247</v>
      </c>
    </row>
    <row r="27221" spans="13:13" x14ac:dyDescent="0.25">
      <c r="M27221" t="s">
        <v>248</v>
      </c>
    </row>
    <row r="27222" spans="13:13" x14ac:dyDescent="0.25">
      <c r="M27222" t="s">
        <v>249</v>
      </c>
    </row>
    <row r="27223" spans="13:13" x14ac:dyDescent="0.25">
      <c r="M27223" t="s">
        <v>250</v>
      </c>
    </row>
    <row r="27224" spans="13:13" x14ac:dyDescent="0.25">
      <c r="M27224" t="s">
        <v>251</v>
      </c>
    </row>
    <row r="27225" spans="13:13" x14ac:dyDescent="0.25">
      <c r="M27225" t="s">
        <v>252</v>
      </c>
    </row>
    <row r="27226" spans="13:13" x14ac:dyDescent="0.25">
      <c r="M27226" t="s">
        <v>253</v>
      </c>
    </row>
    <row r="27236" spans="13:13" x14ac:dyDescent="0.25">
      <c r="M27236" t="s">
        <v>254</v>
      </c>
    </row>
    <row r="27237" spans="13:13" x14ac:dyDescent="0.25">
      <c r="M27237" t="s">
        <v>83</v>
      </c>
    </row>
    <row r="27251" spans="13:13" x14ac:dyDescent="0.25">
      <c r="M27251" t="s">
        <v>255</v>
      </c>
    </row>
    <row r="27252" spans="13:13" x14ac:dyDescent="0.25">
      <c r="M27252" t="s">
        <v>256</v>
      </c>
    </row>
    <row r="27253" spans="13:13" x14ac:dyDescent="0.25">
      <c r="M27253" t="s">
        <v>257</v>
      </c>
    </row>
    <row r="27254" spans="13:13" x14ac:dyDescent="0.25">
      <c r="M27254" t="s">
        <v>258</v>
      </c>
    </row>
    <row r="27255" spans="13:13" x14ac:dyDescent="0.25">
      <c r="M27255" t="s">
        <v>259</v>
      </c>
    </row>
    <row r="27256" spans="13:13" x14ac:dyDescent="0.25">
      <c r="M27256" t="s">
        <v>260</v>
      </c>
    </row>
    <row r="27257" spans="13:13" x14ac:dyDescent="0.25">
      <c r="M27257" t="s">
        <v>261</v>
      </c>
    </row>
    <row r="27258" spans="13:13" x14ac:dyDescent="0.25">
      <c r="M27258" t="s">
        <v>262</v>
      </c>
    </row>
    <row r="27259" spans="13:13" x14ac:dyDescent="0.25">
      <c r="M27259" t="s">
        <v>263</v>
      </c>
    </row>
    <row r="27310" spans="13:13" x14ac:dyDescent="0.25">
      <c r="M27310" t="s">
        <v>264</v>
      </c>
    </row>
    <row r="27311" spans="13:13" x14ac:dyDescent="0.25">
      <c r="M27311" t="s">
        <v>265</v>
      </c>
    </row>
    <row r="27312" spans="13:13" x14ac:dyDescent="0.25">
      <c r="M27312" t="s">
        <v>266</v>
      </c>
    </row>
    <row r="27361" spans="13:13" x14ac:dyDescent="0.25">
      <c r="M27361" t="s">
        <v>267</v>
      </c>
    </row>
    <row r="27362" spans="13:13" x14ac:dyDescent="0.25">
      <c r="M27362" t="s">
        <v>268</v>
      </c>
    </row>
    <row r="27363" spans="13:13" x14ac:dyDescent="0.25">
      <c r="M27363" t="s">
        <v>269</v>
      </c>
    </row>
    <row r="27364" spans="13:13" x14ac:dyDescent="0.25">
      <c r="M27364" t="s">
        <v>270</v>
      </c>
    </row>
    <row r="27365" spans="13:13" x14ac:dyDescent="0.25">
      <c r="M27365" t="s">
        <v>271</v>
      </c>
    </row>
    <row r="27366" spans="13:13" x14ac:dyDescent="0.25">
      <c r="M27366" t="s">
        <v>272</v>
      </c>
    </row>
    <row r="27387" spans="13:13" x14ac:dyDescent="0.25">
      <c r="M27387" t="s">
        <v>273</v>
      </c>
    </row>
    <row r="27388" spans="13:13" x14ac:dyDescent="0.25">
      <c r="M27388" t="s">
        <v>274</v>
      </c>
    </row>
    <row r="27391" spans="13:13" x14ac:dyDescent="0.25">
      <c r="M27391" t="s">
        <v>275</v>
      </c>
    </row>
    <row r="27392" spans="13:13" x14ac:dyDescent="0.25">
      <c r="M27392" t="s">
        <v>276</v>
      </c>
    </row>
    <row r="27393" spans="13:13" x14ac:dyDescent="0.25">
      <c r="M27393" t="s">
        <v>277</v>
      </c>
    </row>
    <row r="27398" spans="13:13" x14ac:dyDescent="0.25">
      <c r="M27398" t="s">
        <v>278</v>
      </c>
    </row>
    <row r="27399" spans="13:13" x14ac:dyDescent="0.25">
      <c r="M27399" t="s">
        <v>279</v>
      </c>
    </row>
    <row r="27415" spans="13:13" x14ac:dyDescent="0.25">
      <c r="M27415" t="s">
        <v>203</v>
      </c>
    </row>
    <row r="27416" spans="13:13" x14ac:dyDescent="0.25">
      <c r="M27416" t="s">
        <v>204</v>
      </c>
    </row>
    <row r="27417" spans="13:13" x14ac:dyDescent="0.25">
      <c r="M27417" t="s">
        <v>205</v>
      </c>
    </row>
    <row r="27418" spans="13:13" x14ac:dyDescent="0.25">
      <c r="M27418" t="s">
        <v>206</v>
      </c>
    </row>
    <row r="27419" spans="13:13" x14ac:dyDescent="0.25">
      <c r="M27419" t="s">
        <v>207</v>
      </c>
    </row>
    <row r="27420" spans="13:13" x14ac:dyDescent="0.25">
      <c r="M27420" t="s">
        <v>208</v>
      </c>
    </row>
    <row r="27421" spans="13:13" x14ac:dyDescent="0.25">
      <c r="M27421" t="s">
        <v>209</v>
      </c>
    </row>
    <row r="27422" spans="13:13" x14ac:dyDescent="0.25">
      <c r="M27422" t="s">
        <v>210</v>
      </c>
    </row>
    <row r="27442" spans="13:13" x14ac:dyDescent="0.25">
      <c r="M27442" t="s">
        <v>211</v>
      </c>
    </row>
    <row r="27443" spans="13:13" x14ac:dyDescent="0.25">
      <c r="M27443" t="s">
        <v>212</v>
      </c>
    </row>
    <row r="27444" spans="13:13" x14ac:dyDescent="0.25">
      <c r="M27444" t="s">
        <v>213</v>
      </c>
    </row>
    <row r="27445" spans="13:13" x14ac:dyDescent="0.25">
      <c r="M27445" t="s">
        <v>214</v>
      </c>
    </row>
    <row r="27446" spans="13:13" x14ac:dyDescent="0.25">
      <c r="M27446" t="s">
        <v>215</v>
      </c>
    </row>
    <row r="27447" spans="13:13" x14ac:dyDescent="0.25">
      <c r="M27447" t="s">
        <v>216</v>
      </c>
    </row>
    <row r="27448" spans="13:13" x14ac:dyDescent="0.25">
      <c r="M27448" t="s">
        <v>217</v>
      </c>
    </row>
    <row r="27449" spans="13:13" x14ac:dyDescent="0.25">
      <c r="M27449" t="s">
        <v>218</v>
      </c>
    </row>
    <row r="27450" spans="13:13" x14ac:dyDescent="0.25">
      <c r="M27450" t="s">
        <v>219</v>
      </c>
    </row>
    <row r="27451" spans="13:13" x14ac:dyDescent="0.25">
      <c r="M27451" t="s">
        <v>220</v>
      </c>
    </row>
    <row r="27455" spans="13:13" x14ac:dyDescent="0.25">
      <c r="M27455" t="s">
        <v>221</v>
      </c>
    </row>
    <row r="27456" spans="13:13" x14ac:dyDescent="0.25">
      <c r="M27456" t="s">
        <v>222</v>
      </c>
    </row>
    <row r="27457" spans="13:13" x14ac:dyDescent="0.25">
      <c r="M27457" t="s">
        <v>223</v>
      </c>
    </row>
    <row r="27458" spans="13:13" x14ac:dyDescent="0.25">
      <c r="M27458" t="s">
        <v>224</v>
      </c>
    </row>
    <row r="27459" spans="13:13" x14ac:dyDescent="0.25">
      <c r="M27459" t="s">
        <v>225</v>
      </c>
    </row>
    <row r="27460" spans="13:13" x14ac:dyDescent="0.25">
      <c r="M27460" t="s">
        <v>226</v>
      </c>
    </row>
    <row r="27461" spans="13:13" x14ac:dyDescent="0.25">
      <c r="M27461" t="s">
        <v>227</v>
      </c>
    </row>
    <row r="27462" spans="13:13" x14ac:dyDescent="0.25">
      <c r="M27462" t="s">
        <v>228</v>
      </c>
    </row>
    <row r="27463" spans="13:13" x14ac:dyDescent="0.25">
      <c r="M27463" t="s">
        <v>229</v>
      </c>
    </row>
    <row r="27464" spans="13:13" x14ac:dyDescent="0.25">
      <c r="M27464" t="s">
        <v>230</v>
      </c>
    </row>
    <row r="27465" spans="13:13" x14ac:dyDescent="0.25">
      <c r="M27465" t="s">
        <v>231</v>
      </c>
    </row>
    <row r="27466" spans="13:13" x14ac:dyDescent="0.25">
      <c r="M27466" t="s">
        <v>232</v>
      </c>
    </row>
    <row r="27467" spans="13:13" x14ac:dyDescent="0.25">
      <c r="M27467" t="s">
        <v>233</v>
      </c>
    </row>
    <row r="27468" spans="13:13" x14ac:dyDescent="0.25">
      <c r="M27468" t="s">
        <v>234</v>
      </c>
    </row>
    <row r="27469" spans="13:13" x14ac:dyDescent="0.25">
      <c r="M27469" t="s">
        <v>235</v>
      </c>
    </row>
    <row r="27470" spans="13:13" x14ac:dyDescent="0.25">
      <c r="M27470" t="s">
        <v>236</v>
      </c>
    </row>
    <row r="27471" spans="13:13" x14ac:dyDescent="0.25">
      <c r="M27471" t="s">
        <v>237</v>
      </c>
    </row>
    <row r="27472" spans="13:13" x14ac:dyDescent="0.25">
      <c r="M27472" t="s">
        <v>238</v>
      </c>
    </row>
    <row r="27473" spans="13:13" x14ac:dyDescent="0.25">
      <c r="M27473" t="s">
        <v>239</v>
      </c>
    </row>
    <row r="27474" spans="13:13" x14ac:dyDescent="0.25">
      <c r="M27474" t="s">
        <v>240</v>
      </c>
    </row>
    <row r="27475" spans="13:13" x14ac:dyDescent="0.25">
      <c r="M27475" t="s">
        <v>241</v>
      </c>
    </row>
    <row r="27476" spans="13:13" x14ac:dyDescent="0.25">
      <c r="M27476" t="s">
        <v>242</v>
      </c>
    </row>
    <row r="27477" spans="13:13" x14ac:dyDescent="0.25">
      <c r="M27477" t="s">
        <v>243</v>
      </c>
    </row>
    <row r="27478" spans="13:13" x14ac:dyDescent="0.25">
      <c r="M27478" t="s">
        <v>244</v>
      </c>
    </row>
    <row r="27479" spans="13:13" x14ac:dyDescent="0.25">
      <c r="M27479" t="s">
        <v>245</v>
      </c>
    </row>
    <row r="27480" spans="13:13" x14ac:dyDescent="0.25">
      <c r="M27480" t="s">
        <v>246</v>
      </c>
    </row>
    <row r="27481" spans="13:13" x14ac:dyDescent="0.25">
      <c r="M27481" t="s">
        <v>247</v>
      </c>
    </row>
    <row r="27482" spans="13:13" x14ac:dyDescent="0.25">
      <c r="M27482" t="s">
        <v>248</v>
      </c>
    </row>
    <row r="27483" spans="13:13" x14ac:dyDescent="0.25">
      <c r="M27483" t="s">
        <v>249</v>
      </c>
    </row>
    <row r="27484" spans="13:13" x14ac:dyDescent="0.25">
      <c r="M27484" t="s">
        <v>250</v>
      </c>
    </row>
    <row r="27485" spans="13:13" x14ac:dyDescent="0.25">
      <c r="M27485" t="s">
        <v>251</v>
      </c>
    </row>
    <row r="27486" spans="13:13" x14ac:dyDescent="0.25">
      <c r="M27486" t="s">
        <v>252</v>
      </c>
    </row>
    <row r="27487" spans="13:13" x14ac:dyDescent="0.25">
      <c r="M27487" t="s">
        <v>253</v>
      </c>
    </row>
    <row r="27497" spans="13:13" x14ac:dyDescent="0.25">
      <c r="M27497" t="s">
        <v>254</v>
      </c>
    </row>
    <row r="27498" spans="13:13" x14ac:dyDescent="0.25">
      <c r="M27498" t="s">
        <v>83</v>
      </c>
    </row>
    <row r="27512" spans="13:13" x14ac:dyDescent="0.25">
      <c r="M27512" t="s">
        <v>255</v>
      </c>
    </row>
    <row r="27513" spans="13:13" x14ac:dyDescent="0.25">
      <c r="M27513" t="s">
        <v>256</v>
      </c>
    </row>
    <row r="27514" spans="13:13" x14ac:dyDescent="0.25">
      <c r="M27514" t="s">
        <v>257</v>
      </c>
    </row>
    <row r="27515" spans="13:13" x14ac:dyDescent="0.25">
      <c r="M27515" t="s">
        <v>258</v>
      </c>
    </row>
    <row r="27516" spans="13:13" x14ac:dyDescent="0.25">
      <c r="M27516" t="s">
        <v>259</v>
      </c>
    </row>
    <row r="27517" spans="13:13" x14ac:dyDescent="0.25">
      <c r="M27517" t="s">
        <v>260</v>
      </c>
    </row>
    <row r="27518" spans="13:13" x14ac:dyDescent="0.25">
      <c r="M27518" t="s">
        <v>261</v>
      </c>
    </row>
    <row r="27519" spans="13:13" x14ac:dyDescent="0.25">
      <c r="M27519" t="s">
        <v>262</v>
      </c>
    </row>
    <row r="27520" spans="13:13" x14ac:dyDescent="0.25">
      <c r="M27520" t="s">
        <v>263</v>
      </c>
    </row>
    <row r="27571" spans="13:13" x14ac:dyDescent="0.25">
      <c r="M27571" t="s">
        <v>264</v>
      </c>
    </row>
    <row r="27572" spans="13:13" x14ac:dyDescent="0.25">
      <c r="M27572" t="s">
        <v>265</v>
      </c>
    </row>
    <row r="27573" spans="13:13" x14ac:dyDescent="0.25">
      <c r="M27573" t="s">
        <v>266</v>
      </c>
    </row>
    <row r="27622" spans="13:13" x14ac:dyDescent="0.25">
      <c r="M27622" t="s">
        <v>267</v>
      </c>
    </row>
    <row r="27623" spans="13:13" x14ac:dyDescent="0.25">
      <c r="M27623" t="s">
        <v>268</v>
      </c>
    </row>
    <row r="27624" spans="13:13" x14ac:dyDescent="0.25">
      <c r="M27624" t="s">
        <v>269</v>
      </c>
    </row>
    <row r="27625" spans="13:13" x14ac:dyDescent="0.25">
      <c r="M27625" t="s">
        <v>270</v>
      </c>
    </row>
    <row r="27626" spans="13:13" x14ac:dyDescent="0.25">
      <c r="M27626" t="s">
        <v>271</v>
      </c>
    </row>
    <row r="27627" spans="13:13" x14ac:dyDescent="0.25">
      <c r="M27627" t="s">
        <v>272</v>
      </c>
    </row>
    <row r="27648" spans="13:13" x14ac:dyDescent="0.25">
      <c r="M27648" t="s">
        <v>273</v>
      </c>
    </row>
    <row r="27649" spans="13:13" x14ac:dyDescent="0.25">
      <c r="M27649" t="s">
        <v>274</v>
      </c>
    </row>
    <row r="27652" spans="13:13" x14ac:dyDescent="0.25">
      <c r="M27652" t="s">
        <v>275</v>
      </c>
    </row>
    <row r="27653" spans="13:13" x14ac:dyDescent="0.25">
      <c r="M27653" t="s">
        <v>276</v>
      </c>
    </row>
    <row r="27654" spans="13:13" x14ac:dyDescent="0.25">
      <c r="M27654" t="s">
        <v>277</v>
      </c>
    </row>
    <row r="27659" spans="13:13" x14ac:dyDescent="0.25">
      <c r="M27659" t="s">
        <v>278</v>
      </c>
    </row>
    <row r="27660" spans="13:13" x14ac:dyDescent="0.25">
      <c r="M27660" t="s">
        <v>279</v>
      </c>
    </row>
    <row r="27676" spans="13:13" x14ac:dyDescent="0.25">
      <c r="M27676" t="s">
        <v>203</v>
      </c>
    </row>
    <row r="27677" spans="13:13" x14ac:dyDescent="0.25">
      <c r="M27677" t="s">
        <v>204</v>
      </c>
    </row>
    <row r="27678" spans="13:13" x14ac:dyDescent="0.25">
      <c r="M27678" t="s">
        <v>205</v>
      </c>
    </row>
    <row r="27679" spans="13:13" x14ac:dyDescent="0.25">
      <c r="M27679" t="s">
        <v>206</v>
      </c>
    </row>
    <row r="27680" spans="13:13" x14ac:dyDescent="0.25">
      <c r="M27680" t="s">
        <v>207</v>
      </c>
    </row>
    <row r="27681" spans="13:13" x14ac:dyDescent="0.25">
      <c r="M27681" t="s">
        <v>208</v>
      </c>
    </row>
    <row r="27682" spans="13:13" x14ac:dyDescent="0.25">
      <c r="M27682" t="s">
        <v>209</v>
      </c>
    </row>
    <row r="27683" spans="13:13" x14ac:dyDescent="0.25">
      <c r="M27683" t="s">
        <v>210</v>
      </c>
    </row>
    <row r="27703" spans="13:13" x14ac:dyDescent="0.25">
      <c r="M27703" t="s">
        <v>211</v>
      </c>
    </row>
    <row r="27704" spans="13:13" x14ac:dyDescent="0.25">
      <c r="M27704" t="s">
        <v>212</v>
      </c>
    </row>
    <row r="27705" spans="13:13" x14ac:dyDescent="0.25">
      <c r="M27705" t="s">
        <v>213</v>
      </c>
    </row>
    <row r="27706" spans="13:13" x14ac:dyDescent="0.25">
      <c r="M27706" t="s">
        <v>214</v>
      </c>
    </row>
    <row r="27707" spans="13:13" x14ac:dyDescent="0.25">
      <c r="M27707" t="s">
        <v>215</v>
      </c>
    </row>
    <row r="27708" spans="13:13" x14ac:dyDescent="0.25">
      <c r="M27708" t="s">
        <v>216</v>
      </c>
    </row>
    <row r="27709" spans="13:13" x14ac:dyDescent="0.25">
      <c r="M27709" t="s">
        <v>217</v>
      </c>
    </row>
    <row r="27710" spans="13:13" x14ac:dyDescent="0.25">
      <c r="M27710" t="s">
        <v>218</v>
      </c>
    </row>
    <row r="27711" spans="13:13" x14ac:dyDescent="0.25">
      <c r="M27711" t="s">
        <v>219</v>
      </c>
    </row>
    <row r="27712" spans="13:13" x14ac:dyDescent="0.25">
      <c r="M27712" t="s">
        <v>220</v>
      </c>
    </row>
    <row r="27716" spans="13:13" x14ac:dyDescent="0.25">
      <c r="M27716" t="s">
        <v>221</v>
      </c>
    </row>
    <row r="27717" spans="13:13" x14ac:dyDescent="0.25">
      <c r="M27717" t="s">
        <v>222</v>
      </c>
    </row>
    <row r="27718" spans="13:13" x14ac:dyDescent="0.25">
      <c r="M27718" t="s">
        <v>223</v>
      </c>
    </row>
    <row r="27719" spans="13:13" x14ac:dyDescent="0.25">
      <c r="M27719" t="s">
        <v>224</v>
      </c>
    </row>
    <row r="27720" spans="13:13" x14ac:dyDescent="0.25">
      <c r="M27720" t="s">
        <v>225</v>
      </c>
    </row>
    <row r="27721" spans="13:13" x14ac:dyDescent="0.25">
      <c r="M27721" t="s">
        <v>226</v>
      </c>
    </row>
    <row r="27722" spans="13:13" x14ac:dyDescent="0.25">
      <c r="M27722" t="s">
        <v>227</v>
      </c>
    </row>
    <row r="27723" spans="13:13" x14ac:dyDescent="0.25">
      <c r="M27723" t="s">
        <v>228</v>
      </c>
    </row>
    <row r="27724" spans="13:13" x14ac:dyDescent="0.25">
      <c r="M27724" t="s">
        <v>229</v>
      </c>
    </row>
    <row r="27725" spans="13:13" x14ac:dyDescent="0.25">
      <c r="M27725" t="s">
        <v>230</v>
      </c>
    </row>
    <row r="27726" spans="13:13" x14ac:dyDescent="0.25">
      <c r="M27726" t="s">
        <v>231</v>
      </c>
    </row>
    <row r="27727" spans="13:13" x14ac:dyDescent="0.25">
      <c r="M27727" t="s">
        <v>232</v>
      </c>
    </row>
    <row r="27728" spans="13:13" x14ac:dyDescent="0.25">
      <c r="M27728" t="s">
        <v>233</v>
      </c>
    </row>
    <row r="27729" spans="13:13" x14ac:dyDescent="0.25">
      <c r="M27729" t="s">
        <v>234</v>
      </c>
    </row>
    <row r="27730" spans="13:13" x14ac:dyDescent="0.25">
      <c r="M27730" t="s">
        <v>235</v>
      </c>
    </row>
    <row r="27731" spans="13:13" x14ac:dyDescent="0.25">
      <c r="M27731" t="s">
        <v>236</v>
      </c>
    </row>
    <row r="27732" spans="13:13" x14ac:dyDescent="0.25">
      <c r="M27732" t="s">
        <v>237</v>
      </c>
    </row>
    <row r="27733" spans="13:13" x14ac:dyDescent="0.25">
      <c r="M27733" t="s">
        <v>238</v>
      </c>
    </row>
    <row r="27734" spans="13:13" x14ac:dyDescent="0.25">
      <c r="M27734" t="s">
        <v>239</v>
      </c>
    </row>
    <row r="27735" spans="13:13" x14ac:dyDescent="0.25">
      <c r="M27735" t="s">
        <v>240</v>
      </c>
    </row>
    <row r="27736" spans="13:13" x14ac:dyDescent="0.25">
      <c r="M27736" t="s">
        <v>241</v>
      </c>
    </row>
    <row r="27737" spans="13:13" x14ac:dyDescent="0.25">
      <c r="M27737" t="s">
        <v>242</v>
      </c>
    </row>
    <row r="27738" spans="13:13" x14ac:dyDescent="0.25">
      <c r="M27738" t="s">
        <v>243</v>
      </c>
    </row>
    <row r="27739" spans="13:13" x14ac:dyDescent="0.25">
      <c r="M27739" t="s">
        <v>244</v>
      </c>
    </row>
    <row r="27740" spans="13:13" x14ac:dyDescent="0.25">
      <c r="M27740" t="s">
        <v>245</v>
      </c>
    </row>
    <row r="27741" spans="13:13" x14ac:dyDescent="0.25">
      <c r="M27741" t="s">
        <v>246</v>
      </c>
    </row>
    <row r="27742" spans="13:13" x14ac:dyDescent="0.25">
      <c r="M27742" t="s">
        <v>247</v>
      </c>
    </row>
    <row r="27743" spans="13:13" x14ac:dyDescent="0.25">
      <c r="M27743" t="s">
        <v>248</v>
      </c>
    </row>
    <row r="27744" spans="13:13" x14ac:dyDescent="0.25">
      <c r="M27744" t="s">
        <v>249</v>
      </c>
    </row>
    <row r="27745" spans="13:13" x14ac:dyDescent="0.25">
      <c r="M27745" t="s">
        <v>250</v>
      </c>
    </row>
    <row r="27746" spans="13:13" x14ac:dyDescent="0.25">
      <c r="M27746" t="s">
        <v>251</v>
      </c>
    </row>
    <row r="27747" spans="13:13" x14ac:dyDescent="0.25">
      <c r="M27747" t="s">
        <v>252</v>
      </c>
    </row>
    <row r="27748" spans="13:13" x14ac:dyDescent="0.25">
      <c r="M27748" t="s">
        <v>253</v>
      </c>
    </row>
    <row r="27758" spans="13:13" x14ac:dyDescent="0.25">
      <c r="M27758" t="s">
        <v>254</v>
      </c>
    </row>
    <row r="27759" spans="13:13" x14ac:dyDescent="0.25">
      <c r="M27759" t="s">
        <v>83</v>
      </c>
    </row>
    <row r="27773" spans="13:13" x14ac:dyDescent="0.25">
      <c r="M27773" t="s">
        <v>255</v>
      </c>
    </row>
    <row r="27774" spans="13:13" x14ac:dyDescent="0.25">
      <c r="M27774" t="s">
        <v>256</v>
      </c>
    </row>
    <row r="27775" spans="13:13" x14ac:dyDescent="0.25">
      <c r="M27775" t="s">
        <v>257</v>
      </c>
    </row>
    <row r="27776" spans="13:13" x14ac:dyDescent="0.25">
      <c r="M27776" t="s">
        <v>258</v>
      </c>
    </row>
    <row r="27777" spans="13:13" x14ac:dyDescent="0.25">
      <c r="M27777" t="s">
        <v>259</v>
      </c>
    </row>
    <row r="27778" spans="13:13" x14ac:dyDescent="0.25">
      <c r="M27778" t="s">
        <v>260</v>
      </c>
    </row>
    <row r="27779" spans="13:13" x14ac:dyDescent="0.25">
      <c r="M27779" t="s">
        <v>261</v>
      </c>
    </row>
    <row r="27780" spans="13:13" x14ac:dyDescent="0.25">
      <c r="M27780" t="s">
        <v>262</v>
      </c>
    </row>
    <row r="27781" spans="13:13" x14ac:dyDescent="0.25">
      <c r="M27781" t="s">
        <v>263</v>
      </c>
    </row>
    <row r="27832" spans="13:13" x14ac:dyDescent="0.25">
      <c r="M27832" t="s">
        <v>264</v>
      </c>
    </row>
    <row r="27833" spans="13:13" x14ac:dyDescent="0.25">
      <c r="M27833" t="s">
        <v>265</v>
      </c>
    </row>
    <row r="27834" spans="13:13" x14ac:dyDescent="0.25">
      <c r="M27834" t="s">
        <v>266</v>
      </c>
    </row>
    <row r="27883" spans="13:13" x14ac:dyDescent="0.25">
      <c r="M27883" t="s">
        <v>267</v>
      </c>
    </row>
    <row r="27884" spans="13:13" x14ac:dyDescent="0.25">
      <c r="M27884" t="s">
        <v>268</v>
      </c>
    </row>
    <row r="27885" spans="13:13" x14ac:dyDescent="0.25">
      <c r="M27885" t="s">
        <v>269</v>
      </c>
    </row>
    <row r="27886" spans="13:13" x14ac:dyDescent="0.25">
      <c r="M27886" t="s">
        <v>270</v>
      </c>
    </row>
    <row r="27887" spans="13:13" x14ac:dyDescent="0.25">
      <c r="M27887" t="s">
        <v>271</v>
      </c>
    </row>
    <row r="27888" spans="13:13" x14ac:dyDescent="0.25">
      <c r="M27888" t="s">
        <v>272</v>
      </c>
    </row>
    <row r="27909" spans="13:13" x14ac:dyDescent="0.25">
      <c r="M27909" t="s">
        <v>273</v>
      </c>
    </row>
    <row r="27910" spans="13:13" x14ac:dyDescent="0.25">
      <c r="M27910" t="s">
        <v>274</v>
      </c>
    </row>
    <row r="27913" spans="13:13" x14ac:dyDescent="0.25">
      <c r="M27913" t="s">
        <v>275</v>
      </c>
    </row>
    <row r="27914" spans="13:13" x14ac:dyDescent="0.25">
      <c r="M27914" t="s">
        <v>276</v>
      </c>
    </row>
    <row r="27915" spans="13:13" x14ac:dyDescent="0.25">
      <c r="M27915" t="s">
        <v>277</v>
      </c>
    </row>
    <row r="27920" spans="13:13" x14ac:dyDescent="0.25">
      <c r="M27920" t="s">
        <v>278</v>
      </c>
    </row>
    <row r="27921" spans="13:13" x14ac:dyDescent="0.25">
      <c r="M27921" t="s">
        <v>279</v>
      </c>
    </row>
    <row r="27937" spans="13:13" x14ac:dyDescent="0.25">
      <c r="M27937" t="s">
        <v>203</v>
      </c>
    </row>
    <row r="27938" spans="13:13" x14ac:dyDescent="0.25">
      <c r="M27938" t="s">
        <v>204</v>
      </c>
    </row>
    <row r="27939" spans="13:13" x14ac:dyDescent="0.25">
      <c r="M27939" t="s">
        <v>205</v>
      </c>
    </row>
    <row r="27940" spans="13:13" x14ac:dyDescent="0.25">
      <c r="M27940" t="s">
        <v>206</v>
      </c>
    </row>
    <row r="27941" spans="13:13" x14ac:dyDescent="0.25">
      <c r="M27941" t="s">
        <v>207</v>
      </c>
    </row>
    <row r="27942" spans="13:13" x14ac:dyDescent="0.25">
      <c r="M27942" t="s">
        <v>208</v>
      </c>
    </row>
    <row r="27943" spans="13:13" x14ac:dyDescent="0.25">
      <c r="M27943" t="s">
        <v>209</v>
      </c>
    </row>
    <row r="27944" spans="13:13" x14ac:dyDescent="0.25">
      <c r="M27944" t="s">
        <v>210</v>
      </c>
    </row>
    <row r="27964" spans="13:13" x14ac:dyDescent="0.25">
      <c r="M27964" t="s">
        <v>211</v>
      </c>
    </row>
    <row r="27965" spans="13:13" x14ac:dyDescent="0.25">
      <c r="M27965" t="s">
        <v>212</v>
      </c>
    </row>
    <row r="27966" spans="13:13" x14ac:dyDescent="0.25">
      <c r="M27966" t="s">
        <v>213</v>
      </c>
    </row>
    <row r="27967" spans="13:13" x14ac:dyDescent="0.25">
      <c r="M27967" t="s">
        <v>214</v>
      </c>
    </row>
    <row r="27968" spans="13:13" x14ac:dyDescent="0.25">
      <c r="M27968" t="s">
        <v>215</v>
      </c>
    </row>
    <row r="27969" spans="13:13" x14ac:dyDescent="0.25">
      <c r="M27969" t="s">
        <v>216</v>
      </c>
    </row>
    <row r="27970" spans="13:13" x14ac:dyDescent="0.25">
      <c r="M27970" t="s">
        <v>217</v>
      </c>
    </row>
    <row r="27971" spans="13:13" x14ac:dyDescent="0.25">
      <c r="M27971" t="s">
        <v>218</v>
      </c>
    </row>
    <row r="27972" spans="13:13" x14ac:dyDescent="0.25">
      <c r="M27972" t="s">
        <v>219</v>
      </c>
    </row>
    <row r="27973" spans="13:13" x14ac:dyDescent="0.25">
      <c r="M27973" t="s">
        <v>220</v>
      </c>
    </row>
    <row r="27977" spans="13:13" x14ac:dyDescent="0.25">
      <c r="M27977" t="s">
        <v>221</v>
      </c>
    </row>
    <row r="27978" spans="13:13" x14ac:dyDescent="0.25">
      <c r="M27978" t="s">
        <v>222</v>
      </c>
    </row>
    <row r="27979" spans="13:13" x14ac:dyDescent="0.25">
      <c r="M27979" t="s">
        <v>223</v>
      </c>
    </row>
    <row r="27980" spans="13:13" x14ac:dyDescent="0.25">
      <c r="M27980" t="s">
        <v>224</v>
      </c>
    </row>
    <row r="27981" spans="13:13" x14ac:dyDescent="0.25">
      <c r="M27981" t="s">
        <v>225</v>
      </c>
    </row>
    <row r="27982" spans="13:13" x14ac:dyDescent="0.25">
      <c r="M27982" t="s">
        <v>226</v>
      </c>
    </row>
    <row r="27983" spans="13:13" x14ac:dyDescent="0.25">
      <c r="M27983" t="s">
        <v>227</v>
      </c>
    </row>
    <row r="27984" spans="13:13" x14ac:dyDescent="0.25">
      <c r="M27984" t="s">
        <v>228</v>
      </c>
    </row>
    <row r="27985" spans="13:13" x14ac:dyDescent="0.25">
      <c r="M27985" t="s">
        <v>229</v>
      </c>
    </row>
    <row r="27986" spans="13:13" x14ac:dyDescent="0.25">
      <c r="M27986" t="s">
        <v>230</v>
      </c>
    </row>
    <row r="27987" spans="13:13" x14ac:dyDescent="0.25">
      <c r="M27987" t="s">
        <v>231</v>
      </c>
    </row>
    <row r="27988" spans="13:13" x14ac:dyDescent="0.25">
      <c r="M27988" t="s">
        <v>232</v>
      </c>
    </row>
    <row r="27989" spans="13:13" x14ac:dyDescent="0.25">
      <c r="M27989" t="s">
        <v>233</v>
      </c>
    </row>
    <row r="27990" spans="13:13" x14ac:dyDescent="0.25">
      <c r="M27990" t="s">
        <v>234</v>
      </c>
    </row>
    <row r="27991" spans="13:13" x14ac:dyDescent="0.25">
      <c r="M27991" t="s">
        <v>235</v>
      </c>
    </row>
    <row r="27992" spans="13:13" x14ac:dyDescent="0.25">
      <c r="M27992" t="s">
        <v>236</v>
      </c>
    </row>
    <row r="27993" spans="13:13" x14ac:dyDescent="0.25">
      <c r="M27993" t="s">
        <v>237</v>
      </c>
    </row>
    <row r="27994" spans="13:13" x14ac:dyDescent="0.25">
      <c r="M27994" t="s">
        <v>238</v>
      </c>
    </row>
    <row r="27995" spans="13:13" x14ac:dyDescent="0.25">
      <c r="M27995" t="s">
        <v>239</v>
      </c>
    </row>
    <row r="27996" spans="13:13" x14ac:dyDescent="0.25">
      <c r="M27996" t="s">
        <v>240</v>
      </c>
    </row>
    <row r="27997" spans="13:13" x14ac:dyDescent="0.25">
      <c r="M27997" t="s">
        <v>241</v>
      </c>
    </row>
    <row r="27998" spans="13:13" x14ac:dyDescent="0.25">
      <c r="M27998" t="s">
        <v>242</v>
      </c>
    </row>
    <row r="27999" spans="13:13" x14ac:dyDescent="0.25">
      <c r="M27999" t="s">
        <v>243</v>
      </c>
    </row>
    <row r="28000" spans="13:13" x14ac:dyDescent="0.25">
      <c r="M28000" t="s">
        <v>244</v>
      </c>
    </row>
    <row r="28001" spans="13:13" x14ac:dyDescent="0.25">
      <c r="M28001" t="s">
        <v>245</v>
      </c>
    </row>
    <row r="28002" spans="13:13" x14ac:dyDescent="0.25">
      <c r="M28002" t="s">
        <v>246</v>
      </c>
    </row>
    <row r="28003" spans="13:13" x14ac:dyDescent="0.25">
      <c r="M28003" t="s">
        <v>247</v>
      </c>
    </row>
    <row r="28004" spans="13:13" x14ac:dyDescent="0.25">
      <c r="M28004" t="s">
        <v>248</v>
      </c>
    </row>
    <row r="28005" spans="13:13" x14ac:dyDescent="0.25">
      <c r="M28005" t="s">
        <v>249</v>
      </c>
    </row>
    <row r="28006" spans="13:13" x14ac:dyDescent="0.25">
      <c r="M28006" t="s">
        <v>250</v>
      </c>
    </row>
    <row r="28007" spans="13:13" x14ac:dyDescent="0.25">
      <c r="M28007" t="s">
        <v>251</v>
      </c>
    </row>
    <row r="28008" spans="13:13" x14ac:dyDescent="0.25">
      <c r="M28008" t="s">
        <v>252</v>
      </c>
    </row>
    <row r="28009" spans="13:13" x14ac:dyDescent="0.25">
      <c r="M28009" t="s">
        <v>253</v>
      </c>
    </row>
    <row r="28019" spans="13:13" x14ac:dyDescent="0.25">
      <c r="M28019" t="s">
        <v>254</v>
      </c>
    </row>
    <row r="28020" spans="13:13" x14ac:dyDescent="0.25">
      <c r="M28020" t="s">
        <v>83</v>
      </c>
    </row>
    <row r="28034" spans="13:13" x14ac:dyDescent="0.25">
      <c r="M28034" t="s">
        <v>255</v>
      </c>
    </row>
    <row r="28035" spans="13:13" x14ac:dyDescent="0.25">
      <c r="M28035" t="s">
        <v>256</v>
      </c>
    </row>
    <row r="28036" spans="13:13" x14ac:dyDescent="0.25">
      <c r="M28036" t="s">
        <v>257</v>
      </c>
    </row>
    <row r="28037" spans="13:13" x14ac:dyDescent="0.25">
      <c r="M28037" t="s">
        <v>258</v>
      </c>
    </row>
    <row r="28038" spans="13:13" x14ac:dyDescent="0.25">
      <c r="M28038" t="s">
        <v>259</v>
      </c>
    </row>
    <row r="28039" spans="13:13" x14ac:dyDescent="0.25">
      <c r="M28039" t="s">
        <v>260</v>
      </c>
    </row>
    <row r="28040" spans="13:13" x14ac:dyDescent="0.25">
      <c r="M28040" t="s">
        <v>261</v>
      </c>
    </row>
    <row r="28041" spans="13:13" x14ac:dyDescent="0.25">
      <c r="M28041" t="s">
        <v>262</v>
      </c>
    </row>
    <row r="28042" spans="13:13" x14ac:dyDescent="0.25">
      <c r="M28042" t="s">
        <v>263</v>
      </c>
    </row>
    <row r="28093" spans="13:13" x14ac:dyDescent="0.25">
      <c r="M28093" t="s">
        <v>264</v>
      </c>
    </row>
    <row r="28094" spans="13:13" x14ac:dyDescent="0.25">
      <c r="M28094" t="s">
        <v>265</v>
      </c>
    </row>
    <row r="28095" spans="13:13" x14ac:dyDescent="0.25">
      <c r="M28095" t="s">
        <v>266</v>
      </c>
    </row>
    <row r="28144" spans="13:13" x14ac:dyDescent="0.25">
      <c r="M28144" t="s">
        <v>267</v>
      </c>
    </row>
    <row r="28145" spans="13:13" x14ac:dyDescent="0.25">
      <c r="M28145" t="s">
        <v>268</v>
      </c>
    </row>
    <row r="28146" spans="13:13" x14ac:dyDescent="0.25">
      <c r="M28146" t="s">
        <v>269</v>
      </c>
    </row>
    <row r="28147" spans="13:13" x14ac:dyDescent="0.25">
      <c r="M28147" t="s">
        <v>270</v>
      </c>
    </row>
    <row r="28148" spans="13:13" x14ac:dyDescent="0.25">
      <c r="M28148" t="s">
        <v>271</v>
      </c>
    </row>
    <row r="28149" spans="13:13" x14ac:dyDescent="0.25">
      <c r="M28149" t="s">
        <v>272</v>
      </c>
    </row>
    <row r="28170" spans="13:13" x14ac:dyDescent="0.25">
      <c r="M28170" t="s">
        <v>273</v>
      </c>
    </row>
    <row r="28171" spans="13:13" x14ac:dyDescent="0.25">
      <c r="M28171" t="s">
        <v>274</v>
      </c>
    </row>
    <row r="28174" spans="13:13" x14ac:dyDescent="0.25">
      <c r="M28174" t="s">
        <v>275</v>
      </c>
    </row>
    <row r="28175" spans="13:13" x14ac:dyDescent="0.25">
      <c r="M28175" t="s">
        <v>276</v>
      </c>
    </row>
    <row r="28176" spans="13:13" x14ac:dyDescent="0.25">
      <c r="M28176" t="s">
        <v>277</v>
      </c>
    </row>
    <row r="28181" spans="13:13" x14ac:dyDescent="0.25">
      <c r="M28181" t="s">
        <v>278</v>
      </c>
    </row>
    <row r="28182" spans="13:13" x14ac:dyDescent="0.25">
      <c r="M28182" t="s">
        <v>279</v>
      </c>
    </row>
    <row r="28198" spans="13:13" x14ac:dyDescent="0.25">
      <c r="M28198" t="s">
        <v>203</v>
      </c>
    </row>
    <row r="28199" spans="13:13" x14ac:dyDescent="0.25">
      <c r="M28199" t="s">
        <v>204</v>
      </c>
    </row>
    <row r="28200" spans="13:13" x14ac:dyDescent="0.25">
      <c r="M28200" t="s">
        <v>205</v>
      </c>
    </row>
    <row r="28201" spans="13:13" x14ac:dyDescent="0.25">
      <c r="M28201" t="s">
        <v>206</v>
      </c>
    </row>
    <row r="28202" spans="13:13" x14ac:dyDescent="0.25">
      <c r="M28202" t="s">
        <v>207</v>
      </c>
    </row>
    <row r="28203" spans="13:13" x14ac:dyDescent="0.25">
      <c r="M28203" t="s">
        <v>208</v>
      </c>
    </row>
    <row r="28204" spans="13:13" x14ac:dyDescent="0.25">
      <c r="M28204" t="s">
        <v>209</v>
      </c>
    </row>
    <row r="28205" spans="13:13" x14ac:dyDescent="0.25">
      <c r="M28205" t="s">
        <v>210</v>
      </c>
    </row>
    <row r="28225" spans="13:13" x14ac:dyDescent="0.25">
      <c r="M28225" t="s">
        <v>211</v>
      </c>
    </row>
    <row r="28226" spans="13:13" x14ac:dyDescent="0.25">
      <c r="M28226" t="s">
        <v>212</v>
      </c>
    </row>
    <row r="28227" spans="13:13" x14ac:dyDescent="0.25">
      <c r="M28227" t="s">
        <v>213</v>
      </c>
    </row>
    <row r="28228" spans="13:13" x14ac:dyDescent="0.25">
      <c r="M28228" t="s">
        <v>214</v>
      </c>
    </row>
    <row r="28229" spans="13:13" x14ac:dyDescent="0.25">
      <c r="M28229" t="s">
        <v>215</v>
      </c>
    </row>
    <row r="28230" spans="13:13" x14ac:dyDescent="0.25">
      <c r="M28230" t="s">
        <v>216</v>
      </c>
    </row>
    <row r="28231" spans="13:13" x14ac:dyDescent="0.25">
      <c r="M28231" t="s">
        <v>217</v>
      </c>
    </row>
    <row r="28232" spans="13:13" x14ac:dyDescent="0.25">
      <c r="M28232" t="s">
        <v>218</v>
      </c>
    </row>
    <row r="28233" spans="13:13" x14ac:dyDescent="0.25">
      <c r="M28233" t="s">
        <v>219</v>
      </c>
    </row>
    <row r="28234" spans="13:13" x14ac:dyDescent="0.25">
      <c r="M28234" t="s">
        <v>220</v>
      </c>
    </row>
    <row r="28238" spans="13:13" x14ac:dyDescent="0.25">
      <c r="M28238" t="s">
        <v>221</v>
      </c>
    </row>
    <row r="28239" spans="13:13" x14ac:dyDescent="0.25">
      <c r="M28239" t="s">
        <v>222</v>
      </c>
    </row>
    <row r="28240" spans="13:13" x14ac:dyDescent="0.25">
      <c r="M28240" t="s">
        <v>223</v>
      </c>
    </row>
    <row r="28241" spans="13:13" x14ac:dyDescent="0.25">
      <c r="M28241" t="s">
        <v>224</v>
      </c>
    </row>
    <row r="28242" spans="13:13" x14ac:dyDescent="0.25">
      <c r="M28242" t="s">
        <v>225</v>
      </c>
    </row>
    <row r="28243" spans="13:13" x14ac:dyDescent="0.25">
      <c r="M28243" t="s">
        <v>226</v>
      </c>
    </row>
    <row r="28244" spans="13:13" x14ac:dyDescent="0.25">
      <c r="M28244" t="s">
        <v>227</v>
      </c>
    </row>
    <row r="28245" spans="13:13" x14ac:dyDescent="0.25">
      <c r="M28245" t="s">
        <v>228</v>
      </c>
    </row>
    <row r="28246" spans="13:13" x14ac:dyDescent="0.25">
      <c r="M28246" t="s">
        <v>229</v>
      </c>
    </row>
    <row r="28247" spans="13:13" x14ac:dyDescent="0.25">
      <c r="M28247" t="s">
        <v>230</v>
      </c>
    </row>
    <row r="28248" spans="13:13" x14ac:dyDescent="0.25">
      <c r="M28248" t="s">
        <v>231</v>
      </c>
    </row>
    <row r="28249" spans="13:13" x14ac:dyDescent="0.25">
      <c r="M28249" t="s">
        <v>232</v>
      </c>
    </row>
    <row r="28250" spans="13:13" x14ac:dyDescent="0.25">
      <c r="M28250" t="s">
        <v>233</v>
      </c>
    </row>
    <row r="28251" spans="13:13" x14ac:dyDescent="0.25">
      <c r="M28251" t="s">
        <v>234</v>
      </c>
    </row>
    <row r="28252" spans="13:13" x14ac:dyDescent="0.25">
      <c r="M28252" t="s">
        <v>235</v>
      </c>
    </row>
    <row r="28253" spans="13:13" x14ac:dyDescent="0.25">
      <c r="M28253" t="s">
        <v>236</v>
      </c>
    </row>
    <row r="28254" spans="13:13" x14ac:dyDescent="0.25">
      <c r="M28254" t="s">
        <v>237</v>
      </c>
    </row>
    <row r="28255" spans="13:13" x14ac:dyDescent="0.25">
      <c r="M28255" t="s">
        <v>238</v>
      </c>
    </row>
    <row r="28256" spans="13:13" x14ac:dyDescent="0.25">
      <c r="M28256" t="s">
        <v>239</v>
      </c>
    </row>
    <row r="28257" spans="13:13" x14ac:dyDescent="0.25">
      <c r="M28257" t="s">
        <v>240</v>
      </c>
    </row>
    <row r="28258" spans="13:13" x14ac:dyDescent="0.25">
      <c r="M28258" t="s">
        <v>241</v>
      </c>
    </row>
    <row r="28259" spans="13:13" x14ac:dyDescent="0.25">
      <c r="M28259" t="s">
        <v>242</v>
      </c>
    </row>
    <row r="28260" spans="13:13" x14ac:dyDescent="0.25">
      <c r="M28260" t="s">
        <v>243</v>
      </c>
    </row>
    <row r="28261" spans="13:13" x14ac:dyDescent="0.25">
      <c r="M28261" t="s">
        <v>244</v>
      </c>
    </row>
    <row r="28262" spans="13:13" x14ac:dyDescent="0.25">
      <c r="M28262" t="s">
        <v>245</v>
      </c>
    </row>
    <row r="28263" spans="13:13" x14ac:dyDescent="0.25">
      <c r="M28263" t="s">
        <v>246</v>
      </c>
    </row>
    <row r="28264" spans="13:13" x14ac:dyDescent="0.25">
      <c r="M28264" t="s">
        <v>247</v>
      </c>
    </row>
    <row r="28265" spans="13:13" x14ac:dyDescent="0.25">
      <c r="M28265" t="s">
        <v>248</v>
      </c>
    </row>
    <row r="28266" spans="13:13" x14ac:dyDescent="0.25">
      <c r="M28266" t="s">
        <v>249</v>
      </c>
    </row>
    <row r="28267" spans="13:13" x14ac:dyDescent="0.25">
      <c r="M28267" t="s">
        <v>250</v>
      </c>
    </row>
    <row r="28268" spans="13:13" x14ac:dyDescent="0.25">
      <c r="M28268" t="s">
        <v>251</v>
      </c>
    </row>
    <row r="28269" spans="13:13" x14ac:dyDescent="0.25">
      <c r="M28269" t="s">
        <v>252</v>
      </c>
    </row>
    <row r="28270" spans="13:13" x14ac:dyDescent="0.25">
      <c r="M28270" t="s">
        <v>253</v>
      </c>
    </row>
    <row r="28280" spans="13:13" x14ac:dyDescent="0.25">
      <c r="M28280" t="s">
        <v>254</v>
      </c>
    </row>
    <row r="28281" spans="13:13" x14ac:dyDescent="0.25">
      <c r="M28281" t="s">
        <v>83</v>
      </c>
    </row>
    <row r="28295" spans="13:13" x14ac:dyDescent="0.25">
      <c r="M28295" t="s">
        <v>255</v>
      </c>
    </row>
    <row r="28296" spans="13:13" x14ac:dyDescent="0.25">
      <c r="M28296" t="s">
        <v>256</v>
      </c>
    </row>
    <row r="28297" spans="13:13" x14ac:dyDescent="0.25">
      <c r="M28297" t="s">
        <v>257</v>
      </c>
    </row>
    <row r="28298" spans="13:13" x14ac:dyDescent="0.25">
      <c r="M28298" t="s">
        <v>258</v>
      </c>
    </row>
    <row r="28299" spans="13:13" x14ac:dyDescent="0.25">
      <c r="M28299" t="s">
        <v>259</v>
      </c>
    </row>
    <row r="28300" spans="13:13" x14ac:dyDescent="0.25">
      <c r="M28300" t="s">
        <v>260</v>
      </c>
    </row>
    <row r="28301" spans="13:13" x14ac:dyDescent="0.25">
      <c r="M28301" t="s">
        <v>261</v>
      </c>
    </row>
    <row r="28302" spans="13:13" x14ac:dyDescent="0.25">
      <c r="M28302" t="s">
        <v>262</v>
      </c>
    </row>
    <row r="28303" spans="13:13" x14ac:dyDescent="0.25">
      <c r="M28303" t="s">
        <v>263</v>
      </c>
    </row>
    <row r="28354" spans="13:13" x14ac:dyDescent="0.25">
      <c r="M28354" t="s">
        <v>264</v>
      </c>
    </row>
    <row r="28355" spans="13:13" x14ac:dyDescent="0.25">
      <c r="M28355" t="s">
        <v>265</v>
      </c>
    </row>
    <row r="28356" spans="13:13" x14ac:dyDescent="0.25">
      <c r="M28356" t="s">
        <v>266</v>
      </c>
    </row>
    <row r="28405" spans="13:13" x14ac:dyDescent="0.25">
      <c r="M28405" t="s">
        <v>267</v>
      </c>
    </row>
    <row r="28406" spans="13:13" x14ac:dyDescent="0.25">
      <c r="M28406" t="s">
        <v>268</v>
      </c>
    </row>
    <row r="28407" spans="13:13" x14ac:dyDescent="0.25">
      <c r="M28407" t="s">
        <v>269</v>
      </c>
    </row>
    <row r="28408" spans="13:13" x14ac:dyDescent="0.25">
      <c r="M28408" t="s">
        <v>270</v>
      </c>
    </row>
    <row r="28409" spans="13:13" x14ac:dyDescent="0.25">
      <c r="M28409" t="s">
        <v>271</v>
      </c>
    </row>
    <row r="28410" spans="13:13" x14ac:dyDescent="0.25">
      <c r="M28410" t="s">
        <v>272</v>
      </c>
    </row>
    <row r="28431" spans="13:13" x14ac:dyDescent="0.25">
      <c r="M28431" t="s">
        <v>273</v>
      </c>
    </row>
    <row r="28432" spans="13:13" x14ac:dyDescent="0.25">
      <c r="M28432" t="s">
        <v>274</v>
      </c>
    </row>
    <row r="28435" spans="13:13" x14ac:dyDescent="0.25">
      <c r="M28435" t="s">
        <v>275</v>
      </c>
    </row>
    <row r="28436" spans="13:13" x14ac:dyDescent="0.25">
      <c r="M28436" t="s">
        <v>276</v>
      </c>
    </row>
    <row r="28437" spans="13:13" x14ac:dyDescent="0.25">
      <c r="M28437" t="s">
        <v>277</v>
      </c>
    </row>
    <row r="28442" spans="13:13" x14ac:dyDescent="0.25">
      <c r="M28442" t="s">
        <v>278</v>
      </c>
    </row>
    <row r="28443" spans="13:13" x14ac:dyDescent="0.25">
      <c r="M28443" t="s">
        <v>279</v>
      </c>
    </row>
    <row r="28459" spans="13:13" x14ac:dyDescent="0.25">
      <c r="M28459" t="s">
        <v>203</v>
      </c>
    </row>
    <row r="28460" spans="13:13" x14ac:dyDescent="0.25">
      <c r="M28460" t="s">
        <v>204</v>
      </c>
    </row>
    <row r="28461" spans="13:13" x14ac:dyDescent="0.25">
      <c r="M28461" t="s">
        <v>205</v>
      </c>
    </row>
    <row r="28462" spans="13:13" x14ac:dyDescent="0.25">
      <c r="M28462" t="s">
        <v>206</v>
      </c>
    </row>
    <row r="28463" spans="13:13" x14ac:dyDescent="0.25">
      <c r="M28463" t="s">
        <v>207</v>
      </c>
    </row>
    <row r="28464" spans="13:13" x14ac:dyDescent="0.25">
      <c r="M28464" t="s">
        <v>208</v>
      </c>
    </row>
    <row r="28465" spans="13:13" x14ac:dyDescent="0.25">
      <c r="M28465" t="s">
        <v>209</v>
      </c>
    </row>
    <row r="28466" spans="13:13" x14ac:dyDescent="0.25">
      <c r="M28466" t="s">
        <v>210</v>
      </c>
    </row>
    <row r="28486" spans="13:13" x14ac:dyDescent="0.25">
      <c r="M28486" t="s">
        <v>211</v>
      </c>
    </row>
    <row r="28487" spans="13:13" x14ac:dyDescent="0.25">
      <c r="M28487" t="s">
        <v>212</v>
      </c>
    </row>
    <row r="28488" spans="13:13" x14ac:dyDescent="0.25">
      <c r="M28488" t="s">
        <v>213</v>
      </c>
    </row>
    <row r="28489" spans="13:13" x14ac:dyDescent="0.25">
      <c r="M28489" t="s">
        <v>214</v>
      </c>
    </row>
    <row r="28490" spans="13:13" x14ac:dyDescent="0.25">
      <c r="M28490" t="s">
        <v>215</v>
      </c>
    </row>
    <row r="28491" spans="13:13" x14ac:dyDescent="0.25">
      <c r="M28491" t="s">
        <v>216</v>
      </c>
    </row>
    <row r="28492" spans="13:13" x14ac:dyDescent="0.25">
      <c r="M28492" t="s">
        <v>217</v>
      </c>
    </row>
    <row r="28493" spans="13:13" x14ac:dyDescent="0.25">
      <c r="M28493" t="s">
        <v>218</v>
      </c>
    </row>
    <row r="28494" spans="13:13" x14ac:dyDescent="0.25">
      <c r="M28494" t="s">
        <v>219</v>
      </c>
    </row>
    <row r="28495" spans="13:13" x14ac:dyDescent="0.25">
      <c r="M28495" t="s">
        <v>220</v>
      </c>
    </row>
    <row r="28499" spans="13:13" x14ac:dyDescent="0.25">
      <c r="M28499" t="s">
        <v>221</v>
      </c>
    </row>
    <row r="28500" spans="13:13" x14ac:dyDescent="0.25">
      <c r="M28500" t="s">
        <v>222</v>
      </c>
    </row>
    <row r="28501" spans="13:13" x14ac:dyDescent="0.25">
      <c r="M28501" t="s">
        <v>223</v>
      </c>
    </row>
    <row r="28502" spans="13:13" x14ac:dyDescent="0.25">
      <c r="M28502" t="s">
        <v>224</v>
      </c>
    </row>
    <row r="28503" spans="13:13" x14ac:dyDescent="0.25">
      <c r="M28503" t="s">
        <v>225</v>
      </c>
    </row>
    <row r="28504" spans="13:13" x14ac:dyDescent="0.25">
      <c r="M28504" t="s">
        <v>226</v>
      </c>
    </row>
    <row r="28505" spans="13:13" x14ac:dyDescent="0.25">
      <c r="M28505" t="s">
        <v>227</v>
      </c>
    </row>
    <row r="28506" spans="13:13" x14ac:dyDescent="0.25">
      <c r="M28506" t="s">
        <v>228</v>
      </c>
    </row>
    <row r="28507" spans="13:13" x14ac:dyDescent="0.25">
      <c r="M28507" t="s">
        <v>229</v>
      </c>
    </row>
    <row r="28508" spans="13:13" x14ac:dyDescent="0.25">
      <c r="M28508" t="s">
        <v>230</v>
      </c>
    </row>
    <row r="28509" spans="13:13" x14ac:dyDescent="0.25">
      <c r="M28509" t="s">
        <v>231</v>
      </c>
    </row>
    <row r="28510" spans="13:13" x14ac:dyDescent="0.25">
      <c r="M28510" t="s">
        <v>232</v>
      </c>
    </row>
    <row r="28511" spans="13:13" x14ac:dyDescent="0.25">
      <c r="M28511" t="s">
        <v>233</v>
      </c>
    </row>
    <row r="28512" spans="13:13" x14ac:dyDescent="0.25">
      <c r="M28512" t="s">
        <v>234</v>
      </c>
    </row>
    <row r="28513" spans="13:13" x14ac:dyDescent="0.25">
      <c r="M28513" t="s">
        <v>235</v>
      </c>
    </row>
    <row r="28514" spans="13:13" x14ac:dyDescent="0.25">
      <c r="M28514" t="s">
        <v>236</v>
      </c>
    </row>
    <row r="28515" spans="13:13" x14ac:dyDescent="0.25">
      <c r="M28515" t="s">
        <v>237</v>
      </c>
    </row>
    <row r="28516" spans="13:13" x14ac:dyDescent="0.25">
      <c r="M28516" t="s">
        <v>238</v>
      </c>
    </row>
    <row r="28517" spans="13:13" x14ac:dyDescent="0.25">
      <c r="M28517" t="s">
        <v>239</v>
      </c>
    </row>
    <row r="28518" spans="13:13" x14ac:dyDescent="0.25">
      <c r="M28518" t="s">
        <v>240</v>
      </c>
    </row>
    <row r="28519" spans="13:13" x14ac:dyDescent="0.25">
      <c r="M28519" t="s">
        <v>241</v>
      </c>
    </row>
    <row r="28520" spans="13:13" x14ac:dyDescent="0.25">
      <c r="M28520" t="s">
        <v>242</v>
      </c>
    </row>
    <row r="28521" spans="13:13" x14ac:dyDescent="0.25">
      <c r="M28521" t="s">
        <v>243</v>
      </c>
    </row>
    <row r="28522" spans="13:13" x14ac:dyDescent="0.25">
      <c r="M28522" t="s">
        <v>244</v>
      </c>
    </row>
    <row r="28523" spans="13:13" x14ac:dyDescent="0.25">
      <c r="M28523" t="s">
        <v>245</v>
      </c>
    </row>
    <row r="28524" spans="13:13" x14ac:dyDescent="0.25">
      <c r="M28524" t="s">
        <v>246</v>
      </c>
    </row>
    <row r="28525" spans="13:13" x14ac:dyDescent="0.25">
      <c r="M28525" t="s">
        <v>247</v>
      </c>
    </row>
    <row r="28526" spans="13:13" x14ac:dyDescent="0.25">
      <c r="M28526" t="s">
        <v>248</v>
      </c>
    </row>
    <row r="28527" spans="13:13" x14ac:dyDescent="0.25">
      <c r="M28527" t="s">
        <v>249</v>
      </c>
    </row>
    <row r="28528" spans="13:13" x14ac:dyDescent="0.25">
      <c r="M28528" t="s">
        <v>250</v>
      </c>
    </row>
    <row r="28529" spans="13:13" x14ac:dyDescent="0.25">
      <c r="M28529" t="s">
        <v>251</v>
      </c>
    </row>
    <row r="28530" spans="13:13" x14ac:dyDescent="0.25">
      <c r="M28530" t="s">
        <v>252</v>
      </c>
    </row>
    <row r="28531" spans="13:13" x14ac:dyDescent="0.25">
      <c r="M28531" t="s">
        <v>253</v>
      </c>
    </row>
    <row r="28541" spans="13:13" x14ac:dyDescent="0.25">
      <c r="M28541" t="s">
        <v>254</v>
      </c>
    </row>
    <row r="28542" spans="13:13" x14ac:dyDescent="0.25">
      <c r="M28542" t="s">
        <v>83</v>
      </c>
    </row>
    <row r="28556" spans="13:13" x14ac:dyDescent="0.25">
      <c r="M28556" t="s">
        <v>255</v>
      </c>
    </row>
    <row r="28557" spans="13:13" x14ac:dyDescent="0.25">
      <c r="M28557" t="s">
        <v>256</v>
      </c>
    </row>
    <row r="28558" spans="13:13" x14ac:dyDescent="0.25">
      <c r="M28558" t="s">
        <v>257</v>
      </c>
    </row>
    <row r="28559" spans="13:13" x14ac:dyDescent="0.25">
      <c r="M28559" t="s">
        <v>258</v>
      </c>
    </row>
    <row r="28560" spans="13:13" x14ac:dyDescent="0.25">
      <c r="M28560" t="s">
        <v>259</v>
      </c>
    </row>
    <row r="28561" spans="13:13" x14ac:dyDescent="0.25">
      <c r="M28561" t="s">
        <v>260</v>
      </c>
    </row>
    <row r="28562" spans="13:13" x14ac:dyDescent="0.25">
      <c r="M28562" t="s">
        <v>261</v>
      </c>
    </row>
    <row r="28563" spans="13:13" x14ac:dyDescent="0.25">
      <c r="M28563" t="s">
        <v>262</v>
      </c>
    </row>
    <row r="28564" spans="13:13" x14ac:dyDescent="0.25">
      <c r="M28564" t="s">
        <v>263</v>
      </c>
    </row>
    <row r="28615" spans="13:13" x14ac:dyDescent="0.25">
      <c r="M28615" t="s">
        <v>264</v>
      </c>
    </row>
    <row r="28616" spans="13:13" x14ac:dyDescent="0.25">
      <c r="M28616" t="s">
        <v>265</v>
      </c>
    </row>
    <row r="28617" spans="13:13" x14ac:dyDescent="0.25">
      <c r="M28617" t="s">
        <v>266</v>
      </c>
    </row>
    <row r="28666" spans="13:13" x14ac:dyDescent="0.25">
      <c r="M28666" t="s">
        <v>267</v>
      </c>
    </row>
    <row r="28667" spans="13:13" x14ac:dyDescent="0.25">
      <c r="M28667" t="s">
        <v>268</v>
      </c>
    </row>
    <row r="28668" spans="13:13" x14ac:dyDescent="0.25">
      <c r="M28668" t="s">
        <v>269</v>
      </c>
    </row>
    <row r="28669" spans="13:13" x14ac:dyDescent="0.25">
      <c r="M28669" t="s">
        <v>270</v>
      </c>
    </row>
    <row r="28670" spans="13:13" x14ac:dyDescent="0.25">
      <c r="M28670" t="s">
        <v>271</v>
      </c>
    </row>
    <row r="28671" spans="13:13" x14ac:dyDescent="0.25">
      <c r="M28671" t="s">
        <v>272</v>
      </c>
    </row>
    <row r="28692" spans="13:13" x14ac:dyDescent="0.25">
      <c r="M28692" t="s">
        <v>273</v>
      </c>
    </row>
    <row r="28693" spans="13:13" x14ac:dyDescent="0.25">
      <c r="M28693" t="s">
        <v>274</v>
      </c>
    </row>
    <row r="28696" spans="13:13" x14ac:dyDescent="0.25">
      <c r="M28696" t="s">
        <v>275</v>
      </c>
    </row>
    <row r="28697" spans="13:13" x14ac:dyDescent="0.25">
      <c r="M28697" t="s">
        <v>276</v>
      </c>
    </row>
    <row r="28698" spans="13:13" x14ac:dyDescent="0.25">
      <c r="M28698" t="s">
        <v>277</v>
      </c>
    </row>
    <row r="28703" spans="13:13" x14ac:dyDescent="0.25">
      <c r="M28703" t="s">
        <v>278</v>
      </c>
    </row>
    <row r="28704" spans="13:13" x14ac:dyDescent="0.25">
      <c r="M28704" t="s">
        <v>279</v>
      </c>
    </row>
    <row r="28720" spans="13:13" x14ac:dyDescent="0.25">
      <c r="M28720" t="s">
        <v>203</v>
      </c>
    </row>
    <row r="28721" spans="13:13" x14ac:dyDescent="0.25">
      <c r="M28721" t="s">
        <v>204</v>
      </c>
    </row>
    <row r="28722" spans="13:13" x14ac:dyDescent="0.25">
      <c r="M28722" t="s">
        <v>205</v>
      </c>
    </row>
    <row r="28723" spans="13:13" x14ac:dyDescent="0.25">
      <c r="M28723" t="s">
        <v>206</v>
      </c>
    </row>
    <row r="28724" spans="13:13" x14ac:dyDescent="0.25">
      <c r="M28724" t="s">
        <v>207</v>
      </c>
    </row>
    <row r="28725" spans="13:13" x14ac:dyDescent="0.25">
      <c r="M28725" t="s">
        <v>208</v>
      </c>
    </row>
    <row r="28726" spans="13:13" x14ac:dyDescent="0.25">
      <c r="M28726" t="s">
        <v>209</v>
      </c>
    </row>
    <row r="28727" spans="13:13" x14ac:dyDescent="0.25">
      <c r="M28727" t="s">
        <v>210</v>
      </c>
    </row>
    <row r="28747" spans="13:13" x14ac:dyDescent="0.25">
      <c r="M28747" t="s">
        <v>211</v>
      </c>
    </row>
    <row r="28748" spans="13:13" x14ac:dyDescent="0.25">
      <c r="M28748" t="s">
        <v>212</v>
      </c>
    </row>
    <row r="28749" spans="13:13" x14ac:dyDescent="0.25">
      <c r="M28749" t="s">
        <v>213</v>
      </c>
    </row>
    <row r="28750" spans="13:13" x14ac:dyDescent="0.25">
      <c r="M28750" t="s">
        <v>214</v>
      </c>
    </row>
    <row r="28751" spans="13:13" x14ac:dyDescent="0.25">
      <c r="M28751" t="s">
        <v>215</v>
      </c>
    </row>
    <row r="28752" spans="13:13" x14ac:dyDescent="0.25">
      <c r="M28752" t="s">
        <v>216</v>
      </c>
    </row>
    <row r="28753" spans="13:13" x14ac:dyDescent="0.25">
      <c r="M28753" t="s">
        <v>217</v>
      </c>
    </row>
    <row r="28754" spans="13:13" x14ac:dyDescent="0.25">
      <c r="M28754" t="s">
        <v>218</v>
      </c>
    </row>
    <row r="28755" spans="13:13" x14ac:dyDescent="0.25">
      <c r="M28755" t="s">
        <v>219</v>
      </c>
    </row>
    <row r="28756" spans="13:13" x14ac:dyDescent="0.25">
      <c r="M28756" t="s">
        <v>220</v>
      </c>
    </row>
    <row r="28760" spans="13:13" x14ac:dyDescent="0.25">
      <c r="M28760" t="s">
        <v>221</v>
      </c>
    </row>
    <row r="28761" spans="13:13" x14ac:dyDescent="0.25">
      <c r="M28761" t="s">
        <v>222</v>
      </c>
    </row>
    <row r="28762" spans="13:13" x14ac:dyDescent="0.25">
      <c r="M28762" t="s">
        <v>223</v>
      </c>
    </row>
    <row r="28763" spans="13:13" x14ac:dyDescent="0.25">
      <c r="M28763" t="s">
        <v>224</v>
      </c>
    </row>
    <row r="28764" spans="13:13" x14ac:dyDescent="0.25">
      <c r="M28764" t="s">
        <v>225</v>
      </c>
    </row>
    <row r="28765" spans="13:13" x14ac:dyDescent="0.25">
      <c r="M28765" t="s">
        <v>226</v>
      </c>
    </row>
    <row r="28766" spans="13:13" x14ac:dyDescent="0.25">
      <c r="M28766" t="s">
        <v>227</v>
      </c>
    </row>
    <row r="28767" spans="13:13" x14ac:dyDescent="0.25">
      <c r="M28767" t="s">
        <v>228</v>
      </c>
    </row>
    <row r="28768" spans="13:13" x14ac:dyDescent="0.25">
      <c r="M28768" t="s">
        <v>229</v>
      </c>
    </row>
    <row r="28769" spans="13:13" x14ac:dyDescent="0.25">
      <c r="M28769" t="s">
        <v>230</v>
      </c>
    </row>
    <row r="28770" spans="13:13" x14ac:dyDescent="0.25">
      <c r="M28770" t="s">
        <v>231</v>
      </c>
    </row>
    <row r="28771" spans="13:13" x14ac:dyDescent="0.25">
      <c r="M28771" t="s">
        <v>232</v>
      </c>
    </row>
    <row r="28772" spans="13:13" x14ac:dyDescent="0.25">
      <c r="M28772" t="s">
        <v>233</v>
      </c>
    </row>
    <row r="28773" spans="13:13" x14ac:dyDescent="0.25">
      <c r="M28773" t="s">
        <v>234</v>
      </c>
    </row>
    <row r="28774" spans="13:13" x14ac:dyDescent="0.25">
      <c r="M28774" t="s">
        <v>235</v>
      </c>
    </row>
    <row r="28775" spans="13:13" x14ac:dyDescent="0.25">
      <c r="M28775" t="s">
        <v>236</v>
      </c>
    </row>
    <row r="28776" spans="13:13" x14ac:dyDescent="0.25">
      <c r="M28776" t="s">
        <v>237</v>
      </c>
    </row>
    <row r="28777" spans="13:13" x14ac:dyDescent="0.25">
      <c r="M28777" t="s">
        <v>238</v>
      </c>
    </row>
    <row r="28778" spans="13:13" x14ac:dyDescent="0.25">
      <c r="M28778" t="s">
        <v>239</v>
      </c>
    </row>
    <row r="28779" spans="13:13" x14ac:dyDescent="0.25">
      <c r="M28779" t="s">
        <v>240</v>
      </c>
    </row>
    <row r="28780" spans="13:13" x14ac:dyDescent="0.25">
      <c r="M28780" t="s">
        <v>241</v>
      </c>
    </row>
    <row r="28781" spans="13:13" x14ac:dyDescent="0.25">
      <c r="M28781" t="s">
        <v>242</v>
      </c>
    </row>
    <row r="28782" spans="13:13" x14ac:dyDescent="0.25">
      <c r="M28782" t="s">
        <v>243</v>
      </c>
    </row>
    <row r="28783" spans="13:13" x14ac:dyDescent="0.25">
      <c r="M28783" t="s">
        <v>244</v>
      </c>
    </row>
    <row r="28784" spans="13:13" x14ac:dyDescent="0.25">
      <c r="M28784" t="s">
        <v>245</v>
      </c>
    </row>
    <row r="28785" spans="13:13" x14ac:dyDescent="0.25">
      <c r="M28785" t="s">
        <v>246</v>
      </c>
    </row>
    <row r="28786" spans="13:13" x14ac:dyDescent="0.25">
      <c r="M28786" t="s">
        <v>247</v>
      </c>
    </row>
    <row r="28787" spans="13:13" x14ac:dyDescent="0.25">
      <c r="M28787" t="s">
        <v>248</v>
      </c>
    </row>
    <row r="28788" spans="13:13" x14ac:dyDescent="0.25">
      <c r="M28788" t="s">
        <v>249</v>
      </c>
    </row>
    <row r="28789" spans="13:13" x14ac:dyDescent="0.25">
      <c r="M28789" t="s">
        <v>250</v>
      </c>
    </row>
    <row r="28790" spans="13:13" x14ac:dyDescent="0.25">
      <c r="M28790" t="s">
        <v>251</v>
      </c>
    </row>
    <row r="28791" spans="13:13" x14ac:dyDescent="0.25">
      <c r="M28791" t="s">
        <v>252</v>
      </c>
    </row>
    <row r="28792" spans="13:13" x14ac:dyDescent="0.25">
      <c r="M28792" t="s">
        <v>253</v>
      </c>
    </row>
    <row r="28802" spans="13:13" x14ac:dyDescent="0.25">
      <c r="M28802" t="s">
        <v>254</v>
      </c>
    </row>
    <row r="28803" spans="13:13" x14ac:dyDescent="0.25">
      <c r="M28803" t="s">
        <v>83</v>
      </c>
    </row>
    <row r="28817" spans="13:13" x14ac:dyDescent="0.25">
      <c r="M28817" t="s">
        <v>255</v>
      </c>
    </row>
    <row r="28818" spans="13:13" x14ac:dyDescent="0.25">
      <c r="M28818" t="s">
        <v>256</v>
      </c>
    </row>
    <row r="28819" spans="13:13" x14ac:dyDescent="0.25">
      <c r="M28819" t="s">
        <v>257</v>
      </c>
    </row>
    <row r="28820" spans="13:13" x14ac:dyDescent="0.25">
      <c r="M28820" t="s">
        <v>258</v>
      </c>
    </row>
    <row r="28821" spans="13:13" x14ac:dyDescent="0.25">
      <c r="M28821" t="s">
        <v>259</v>
      </c>
    </row>
    <row r="28822" spans="13:13" x14ac:dyDescent="0.25">
      <c r="M28822" t="s">
        <v>260</v>
      </c>
    </row>
    <row r="28823" spans="13:13" x14ac:dyDescent="0.25">
      <c r="M28823" t="s">
        <v>261</v>
      </c>
    </row>
    <row r="28824" spans="13:13" x14ac:dyDescent="0.25">
      <c r="M28824" t="s">
        <v>262</v>
      </c>
    </row>
    <row r="28825" spans="13:13" x14ac:dyDescent="0.25">
      <c r="M28825" t="s">
        <v>263</v>
      </c>
    </row>
    <row r="28876" spans="13:13" x14ac:dyDescent="0.25">
      <c r="M28876" t="s">
        <v>264</v>
      </c>
    </row>
    <row r="28877" spans="13:13" x14ac:dyDescent="0.25">
      <c r="M28877" t="s">
        <v>265</v>
      </c>
    </row>
    <row r="28878" spans="13:13" x14ac:dyDescent="0.25">
      <c r="M28878" t="s">
        <v>266</v>
      </c>
    </row>
    <row r="28927" spans="13:13" x14ac:dyDescent="0.25">
      <c r="M28927" t="s">
        <v>267</v>
      </c>
    </row>
    <row r="28928" spans="13:13" x14ac:dyDescent="0.25">
      <c r="M28928" t="s">
        <v>268</v>
      </c>
    </row>
    <row r="28929" spans="13:13" x14ac:dyDescent="0.25">
      <c r="M28929" t="s">
        <v>269</v>
      </c>
    </row>
    <row r="28930" spans="13:13" x14ac:dyDescent="0.25">
      <c r="M28930" t="s">
        <v>270</v>
      </c>
    </row>
    <row r="28931" spans="13:13" x14ac:dyDescent="0.25">
      <c r="M28931" t="s">
        <v>271</v>
      </c>
    </row>
    <row r="28932" spans="13:13" x14ac:dyDescent="0.25">
      <c r="M28932" t="s">
        <v>272</v>
      </c>
    </row>
    <row r="28953" spans="13:13" x14ac:dyDescent="0.25">
      <c r="M28953" t="s">
        <v>273</v>
      </c>
    </row>
    <row r="28954" spans="13:13" x14ac:dyDescent="0.25">
      <c r="M28954" t="s">
        <v>274</v>
      </c>
    </row>
    <row r="28957" spans="13:13" x14ac:dyDescent="0.25">
      <c r="M28957" t="s">
        <v>275</v>
      </c>
    </row>
    <row r="28958" spans="13:13" x14ac:dyDescent="0.25">
      <c r="M28958" t="s">
        <v>276</v>
      </c>
    </row>
    <row r="28959" spans="13:13" x14ac:dyDescent="0.25">
      <c r="M28959" t="s">
        <v>277</v>
      </c>
    </row>
    <row r="28964" spans="13:13" x14ac:dyDescent="0.25">
      <c r="M28964" t="s">
        <v>278</v>
      </c>
    </row>
    <row r="28965" spans="13:13" x14ac:dyDescent="0.25">
      <c r="M28965" t="s">
        <v>279</v>
      </c>
    </row>
    <row r="28981" spans="13:13" x14ac:dyDescent="0.25">
      <c r="M28981" t="s">
        <v>203</v>
      </c>
    </row>
    <row r="28982" spans="13:13" x14ac:dyDescent="0.25">
      <c r="M28982" t="s">
        <v>204</v>
      </c>
    </row>
    <row r="28983" spans="13:13" x14ac:dyDescent="0.25">
      <c r="M28983" t="s">
        <v>205</v>
      </c>
    </row>
    <row r="28984" spans="13:13" x14ac:dyDescent="0.25">
      <c r="M28984" t="s">
        <v>206</v>
      </c>
    </row>
    <row r="28985" spans="13:13" x14ac:dyDescent="0.25">
      <c r="M28985" t="s">
        <v>207</v>
      </c>
    </row>
    <row r="28986" spans="13:13" x14ac:dyDescent="0.25">
      <c r="M28986" t="s">
        <v>208</v>
      </c>
    </row>
    <row r="28987" spans="13:13" x14ac:dyDescent="0.25">
      <c r="M28987" t="s">
        <v>209</v>
      </c>
    </row>
    <row r="28988" spans="13:13" x14ac:dyDescent="0.25">
      <c r="M28988" t="s">
        <v>210</v>
      </c>
    </row>
    <row r="29008" spans="13:13" x14ac:dyDescent="0.25">
      <c r="M29008" t="s">
        <v>211</v>
      </c>
    </row>
    <row r="29009" spans="13:13" x14ac:dyDescent="0.25">
      <c r="M29009" t="s">
        <v>212</v>
      </c>
    </row>
    <row r="29010" spans="13:13" x14ac:dyDescent="0.25">
      <c r="M29010" t="s">
        <v>213</v>
      </c>
    </row>
    <row r="29011" spans="13:13" x14ac:dyDescent="0.25">
      <c r="M29011" t="s">
        <v>214</v>
      </c>
    </row>
    <row r="29012" spans="13:13" x14ac:dyDescent="0.25">
      <c r="M29012" t="s">
        <v>215</v>
      </c>
    </row>
    <row r="29013" spans="13:13" x14ac:dyDescent="0.25">
      <c r="M29013" t="s">
        <v>216</v>
      </c>
    </row>
    <row r="29014" spans="13:13" x14ac:dyDescent="0.25">
      <c r="M29014" t="s">
        <v>217</v>
      </c>
    </row>
    <row r="29015" spans="13:13" x14ac:dyDescent="0.25">
      <c r="M29015" t="s">
        <v>218</v>
      </c>
    </row>
    <row r="29016" spans="13:13" x14ac:dyDescent="0.25">
      <c r="M29016" t="s">
        <v>219</v>
      </c>
    </row>
    <row r="29017" spans="13:13" x14ac:dyDescent="0.25">
      <c r="M29017" t="s">
        <v>220</v>
      </c>
    </row>
    <row r="29021" spans="13:13" x14ac:dyDescent="0.25">
      <c r="M29021" t="s">
        <v>221</v>
      </c>
    </row>
    <row r="29022" spans="13:13" x14ac:dyDescent="0.25">
      <c r="M29022" t="s">
        <v>222</v>
      </c>
    </row>
    <row r="29023" spans="13:13" x14ac:dyDescent="0.25">
      <c r="M29023" t="s">
        <v>223</v>
      </c>
    </row>
    <row r="29024" spans="13:13" x14ac:dyDescent="0.25">
      <c r="M29024" t="s">
        <v>224</v>
      </c>
    </row>
    <row r="29025" spans="13:13" x14ac:dyDescent="0.25">
      <c r="M29025" t="s">
        <v>225</v>
      </c>
    </row>
    <row r="29026" spans="13:13" x14ac:dyDescent="0.25">
      <c r="M29026" t="s">
        <v>226</v>
      </c>
    </row>
    <row r="29027" spans="13:13" x14ac:dyDescent="0.25">
      <c r="M29027" t="s">
        <v>227</v>
      </c>
    </row>
    <row r="29028" spans="13:13" x14ac:dyDescent="0.25">
      <c r="M29028" t="s">
        <v>228</v>
      </c>
    </row>
    <row r="29029" spans="13:13" x14ac:dyDescent="0.25">
      <c r="M29029" t="s">
        <v>229</v>
      </c>
    </row>
    <row r="29030" spans="13:13" x14ac:dyDescent="0.25">
      <c r="M29030" t="s">
        <v>230</v>
      </c>
    </row>
    <row r="29031" spans="13:13" x14ac:dyDescent="0.25">
      <c r="M29031" t="s">
        <v>231</v>
      </c>
    </row>
    <row r="29032" spans="13:13" x14ac:dyDescent="0.25">
      <c r="M29032" t="s">
        <v>232</v>
      </c>
    </row>
    <row r="29033" spans="13:13" x14ac:dyDescent="0.25">
      <c r="M29033" t="s">
        <v>233</v>
      </c>
    </row>
    <row r="29034" spans="13:13" x14ac:dyDescent="0.25">
      <c r="M29034" t="s">
        <v>234</v>
      </c>
    </row>
    <row r="29035" spans="13:13" x14ac:dyDescent="0.25">
      <c r="M29035" t="s">
        <v>235</v>
      </c>
    </row>
    <row r="29036" spans="13:13" x14ac:dyDescent="0.25">
      <c r="M29036" t="s">
        <v>236</v>
      </c>
    </row>
    <row r="29037" spans="13:13" x14ac:dyDescent="0.25">
      <c r="M29037" t="s">
        <v>237</v>
      </c>
    </row>
    <row r="29038" spans="13:13" x14ac:dyDescent="0.25">
      <c r="M29038" t="s">
        <v>238</v>
      </c>
    </row>
    <row r="29039" spans="13:13" x14ac:dyDescent="0.25">
      <c r="M29039" t="s">
        <v>239</v>
      </c>
    </row>
    <row r="29040" spans="13:13" x14ac:dyDescent="0.25">
      <c r="M29040" t="s">
        <v>240</v>
      </c>
    </row>
    <row r="29041" spans="13:13" x14ac:dyDescent="0.25">
      <c r="M29041" t="s">
        <v>241</v>
      </c>
    </row>
    <row r="29042" spans="13:13" x14ac:dyDescent="0.25">
      <c r="M29042" t="s">
        <v>242</v>
      </c>
    </row>
    <row r="29043" spans="13:13" x14ac:dyDescent="0.25">
      <c r="M29043" t="s">
        <v>243</v>
      </c>
    </row>
    <row r="29044" spans="13:13" x14ac:dyDescent="0.25">
      <c r="M29044" t="s">
        <v>244</v>
      </c>
    </row>
    <row r="29045" spans="13:13" x14ac:dyDescent="0.25">
      <c r="M29045" t="s">
        <v>245</v>
      </c>
    </row>
    <row r="29046" spans="13:13" x14ac:dyDescent="0.25">
      <c r="M29046" t="s">
        <v>246</v>
      </c>
    </row>
    <row r="29047" spans="13:13" x14ac:dyDescent="0.25">
      <c r="M29047" t="s">
        <v>247</v>
      </c>
    </row>
    <row r="29048" spans="13:13" x14ac:dyDescent="0.25">
      <c r="M29048" t="s">
        <v>248</v>
      </c>
    </row>
    <row r="29049" spans="13:13" x14ac:dyDescent="0.25">
      <c r="M29049" t="s">
        <v>249</v>
      </c>
    </row>
    <row r="29050" spans="13:13" x14ac:dyDescent="0.25">
      <c r="M29050" t="s">
        <v>250</v>
      </c>
    </row>
    <row r="29051" spans="13:13" x14ac:dyDescent="0.25">
      <c r="M29051" t="s">
        <v>251</v>
      </c>
    </row>
    <row r="29052" spans="13:13" x14ac:dyDescent="0.25">
      <c r="M29052" t="s">
        <v>252</v>
      </c>
    </row>
    <row r="29053" spans="13:13" x14ac:dyDescent="0.25">
      <c r="M29053" t="s">
        <v>253</v>
      </c>
    </row>
    <row r="29063" spans="13:13" x14ac:dyDescent="0.25">
      <c r="M29063" t="s">
        <v>254</v>
      </c>
    </row>
    <row r="29064" spans="13:13" x14ac:dyDescent="0.25">
      <c r="M29064" t="s">
        <v>83</v>
      </c>
    </row>
    <row r="29078" spans="13:13" x14ac:dyDescent="0.25">
      <c r="M29078" t="s">
        <v>255</v>
      </c>
    </row>
    <row r="29079" spans="13:13" x14ac:dyDescent="0.25">
      <c r="M29079" t="s">
        <v>256</v>
      </c>
    </row>
    <row r="29080" spans="13:13" x14ac:dyDescent="0.25">
      <c r="M29080" t="s">
        <v>257</v>
      </c>
    </row>
    <row r="29081" spans="13:13" x14ac:dyDescent="0.25">
      <c r="M29081" t="s">
        <v>258</v>
      </c>
    </row>
    <row r="29082" spans="13:13" x14ac:dyDescent="0.25">
      <c r="M29082" t="s">
        <v>259</v>
      </c>
    </row>
    <row r="29083" spans="13:13" x14ac:dyDescent="0.25">
      <c r="M29083" t="s">
        <v>260</v>
      </c>
    </row>
    <row r="29084" spans="13:13" x14ac:dyDescent="0.25">
      <c r="M29084" t="s">
        <v>261</v>
      </c>
    </row>
    <row r="29085" spans="13:13" x14ac:dyDescent="0.25">
      <c r="M29085" t="s">
        <v>262</v>
      </c>
    </row>
    <row r="29086" spans="13:13" x14ac:dyDescent="0.25">
      <c r="M29086" t="s">
        <v>263</v>
      </c>
    </row>
    <row r="29137" spans="13:13" x14ac:dyDescent="0.25">
      <c r="M29137" t="s">
        <v>264</v>
      </c>
    </row>
    <row r="29138" spans="13:13" x14ac:dyDescent="0.25">
      <c r="M29138" t="s">
        <v>265</v>
      </c>
    </row>
    <row r="29139" spans="13:13" x14ac:dyDescent="0.25">
      <c r="M29139" t="s">
        <v>266</v>
      </c>
    </row>
    <row r="29188" spans="13:13" x14ac:dyDescent="0.25">
      <c r="M29188" t="s">
        <v>267</v>
      </c>
    </row>
    <row r="29189" spans="13:13" x14ac:dyDescent="0.25">
      <c r="M29189" t="s">
        <v>268</v>
      </c>
    </row>
    <row r="29190" spans="13:13" x14ac:dyDescent="0.25">
      <c r="M29190" t="s">
        <v>269</v>
      </c>
    </row>
    <row r="29191" spans="13:13" x14ac:dyDescent="0.25">
      <c r="M29191" t="s">
        <v>270</v>
      </c>
    </row>
    <row r="29192" spans="13:13" x14ac:dyDescent="0.25">
      <c r="M29192" t="s">
        <v>271</v>
      </c>
    </row>
    <row r="29193" spans="13:13" x14ac:dyDescent="0.25">
      <c r="M29193" t="s">
        <v>272</v>
      </c>
    </row>
    <row r="29214" spans="13:13" x14ac:dyDescent="0.25">
      <c r="M29214" t="s">
        <v>273</v>
      </c>
    </row>
    <row r="29215" spans="13:13" x14ac:dyDescent="0.25">
      <c r="M29215" t="s">
        <v>274</v>
      </c>
    </row>
    <row r="29218" spans="13:13" x14ac:dyDescent="0.25">
      <c r="M29218" t="s">
        <v>275</v>
      </c>
    </row>
    <row r="29219" spans="13:13" x14ac:dyDescent="0.25">
      <c r="M29219" t="s">
        <v>276</v>
      </c>
    </row>
    <row r="29220" spans="13:13" x14ac:dyDescent="0.25">
      <c r="M29220" t="s">
        <v>277</v>
      </c>
    </row>
    <row r="29225" spans="13:13" x14ac:dyDescent="0.25">
      <c r="M29225" t="s">
        <v>278</v>
      </c>
    </row>
    <row r="29226" spans="13:13" x14ac:dyDescent="0.25">
      <c r="M29226" t="s">
        <v>279</v>
      </c>
    </row>
    <row r="29242" spans="13:13" x14ac:dyDescent="0.25">
      <c r="M29242" t="s">
        <v>203</v>
      </c>
    </row>
    <row r="29243" spans="13:13" x14ac:dyDescent="0.25">
      <c r="M29243" t="s">
        <v>204</v>
      </c>
    </row>
    <row r="29244" spans="13:13" x14ac:dyDescent="0.25">
      <c r="M29244" t="s">
        <v>205</v>
      </c>
    </row>
    <row r="29245" spans="13:13" x14ac:dyDescent="0.25">
      <c r="M29245" t="s">
        <v>206</v>
      </c>
    </row>
    <row r="29246" spans="13:13" x14ac:dyDescent="0.25">
      <c r="M29246" t="s">
        <v>207</v>
      </c>
    </row>
    <row r="29247" spans="13:13" x14ac:dyDescent="0.25">
      <c r="M29247" t="s">
        <v>208</v>
      </c>
    </row>
    <row r="29248" spans="13:13" x14ac:dyDescent="0.25">
      <c r="M29248" t="s">
        <v>209</v>
      </c>
    </row>
    <row r="29249" spans="13:13" x14ac:dyDescent="0.25">
      <c r="M29249" t="s">
        <v>210</v>
      </c>
    </row>
    <row r="29269" spans="13:13" x14ac:dyDescent="0.25">
      <c r="M29269" t="s">
        <v>211</v>
      </c>
    </row>
    <row r="29270" spans="13:13" x14ac:dyDescent="0.25">
      <c r="M29270" t="s">
        <v>212</v>
      </c>
    </row>
    <row r="29271" spans="13:13" x14ac:dyDescent="0.25">
      <c r="M29271" t="s">
        <v>213</v>
      </c>
    </row>
    <row r="29272" spans="13:13" x14ac:dyDescent="0.25">
      <c r="M29272" t="s">
        <v>214</v>
      </c>
    </row>
    <row r="29273" spans="13:13" x14ac:dyDescent="0.25">
      <c r="M29273" t="s">
        <v>215</v>
      </c>
    </row>
    <row r="29274" spans="13:13" x14ac:dyDescent="0.25">
      <c r="M29274" t="s">
        <v>216</v>
      </c>
    </row>
    <row r="29275" spans="13:13" x14ac:dyDescent="0.25">
      <c r="M29275" t="s">
        <v>217</v>
      </c>
    </row>
    <row r="29276" spans="13:13" x14ac:dyDescent="0.25">
      <c r="M29276" t="s">
        <v>218</v>
      </c>
    </row>
    <row r="29277" spans="13:13" x14ac:dyDescent="0.25">
      <c r="M29277" t="s">
        <v>219</v>
      </c>
    </row>
    <row r="29278" spans="13:13" x14ac:dyDescent="0.25">
      <c r="M29278" t="s">
        <v>220</v>
      </c>
    </row>
    <row r="29282" spans="13:13" x14ac:dyDescent="0.25">
      <c r="M29282" t="s">
        <v>221</v>
      </c>
    </row>
    <row r="29283" spans="13:13" x14ac:dyDescent="0.25">
      <c r="M29283" t="s">
        <v>222</v>
      </c>
    </row>
    <row r="29284" spans="13:13" x14ac:dyDescent="0.25">
      <c r="M29284" t="s">
        <v>223</v>
      </c>
    </row>
    <row r="29285" spans="13:13" x14ac:dyDescent="0.25">
      <c r="M29285" t="s">
        <v>224</v>
      </c>
    </row>
    <row r="29286" spans="13:13" x14ac:dyDescent="0.25">
      <c r="M29286" t="s">
        <v>225</v>
      </c>
    </row>
    <row r="29287" spans="13:13" x14ac:dyDescent="0.25">
      <c r="M29287" t="s">
        <v>226</v>
      </c>
    </row>
    <row r="29288" spans="13:13" x14ac:dyDescent="0.25">
      <c r="M29288" t="s">
        <v>227</v>
      </c>
    </row>
    <row r="29289" spans="13:13" x14ac:dyDescent="0.25">
      <c r="M29289" t="s">
        <v>228</v>
      </c>
    </row>
    <row r="29290" spans="13:13" x14ac:dyDescent="0.25">
      <c r="M29290" t="s">
        <v>229</v>
      </c>
    </row>
    <row r="29291" spans="13:13" x14ac:dyDescent="0.25">
      <c r="M29291" t="s">
        <v>230</v>
      </c>
    </row>
    <row r="29292" spans="13:13" x14ac:dyDescent="0.25">
      <c r="M29292" t="s">
        <v>231</v>
      </c>
    </row>
    <row r="29293" spans="13:13" x14ac:dyDescent="0.25">
      <c r="M29293" t="s">
        <v>232</v>
      </c>
    </row>
    <row r="29294" spans="13:13" x14ac:dyDescent="0.25">
      <c r="M29294" t="s">
        <v>233</v>
      </c>
    </row>
    <row r="29295" spans="13:13" x14ac:dyDescent="0.25">
      <c r="M29295" t="s">
        <v>234</v>
      </c>
    </row>
    <row r="29296" spans="13:13" x14ac:dyDescent="0.25">
      <c r="M29296" t="s">
        <v>235</v>
      </c>
    </row>
    <row r="29297" spans="13:13" x14ac:dyDescent="0.25">
      <c r="M29297" t="s">
        <v>236</v>
      </c>
    </row>
    <row r="29298" spans="13:13" x14ac:dyDescent="0.25">
      <c r="M29298" t="s">
        <v>237</v>
      </c>
    </row>
    <row r="29299" spans="13:13" x14ac:dyDescent="0.25">
      <c r="M29299" t="s">
        <v>238</v>
      </c>
    </row>
    <row r="29300" spans="13:13" x14ac:dyDescent="0.25">
      <c r="M29300" t="s">
        <v>239</v>
      </c>
    </row>
    <row r="29301" spans="13:13" x14ac:dyDescent="0.25">
      <c r="M29301" t="s">
        <v>240</v>
      </c>
    </row>
    <row r="29302" spans="13:13" x14ac:dyDescent="0.25">
      <c r="M29302" t="s">
        <v>241</v>
      </c>
    </row>
    <row r="29303" spans="13:13" x14ac:dyDescent="0.25">
      <c r="M29303" t="s">
        <v>242</v>
      </c>
    </row>
    <row r="29304" spans="13:13" x14ac:dyDescent="0.25">
      <c r="M29304" t="s">
        <v>243</v>
      </c>
    </row>
    <row r="29305" spans="13:13" x14ac:dyDescent="0.25">
      <c r="M29305" t="s">
        <v>244</v>
      </c>
    </row>
    <row r="29306" spans="13:13" x14ac:dyDescent="0.25">
      <c r="M29306" t="s">
        <v>245</v>
      </c>
    </row>
    <row r="29307" spans="13:13" x14ac:dyDescent="0.25">
      <c r="M29307" t="s">
        <v>246</v>
      </c>
    </row>
    <row r="29308" spans="13:13" x14ac:dyDescent="0.25">
      <c r="M29308" t="s">
        <v>247</v>
      </c>
    </row>
    <row r="29309" spans="13:13" x14ac:dyDescent="0.25">
      <c r="M29309" t="s">
        <v>248</v>
      </c>
    </row>
    <row r="29310" spans="13:13" x14ac:dyDescent="0.25">
      <c r="M29310" t="s">
        <v>249</v>
      </c>
    </row>
    <row r="29311" spans="13:13" x14ac:dyDescent="0.25">
      <c r="M29311" t="s">
        <v>250</v>
      </c>
    </row>
    <row r="29312" spans="13:13" x14ac:dyDescent="0.25">
      <c r="M29312" t="s">
        <v>251</v>
      </c>
    </row>
    <row r="29313" spans="13:13" x14ac:dyDescent="0.25">
      <c r="M29313" t="s">
        <v>252</v>
      </c>
    </row>
    <row r="29314" spans="13:13" x14ac:dyDescent="0.25">
      <c r="M29314" t="s">
        <v>253</v>
      </c>
    </row>
    <row r="29324" spans="13:13" x14ac:dyDescent="0.25">
      <c r="M29324" t="s">
        <v>254</v>
      </c>
    </row>
    <row r="29325" spans="13:13" x14ac:dyDescent="0.25">
      <c r="M29325" t="s">
        <v>83</v>
      </c>
    </row>
    <row r="29339" spans="13:13" x14ac:dyDescent="0.25">
      <c r="M29339" t="s">
        <v>255</v>
      </c>
    </row>
    <row r="29340" spans="13:13" x14ac:dyDescent="0.25">
      <c r="M29340" t="s">
        <v>256</v>
      </c>
    </row>
    <row r="29341" spans="13:13" x14ac:dyDescent="0.25">
      <c r="M29341" t="s">
        <v>257</v>
      </c>
    </row>
    <row r="29342" spans="13:13" x14ac:dyDescent="0.25">
      <c r="M29342" t="s">
        <v>258</v>
      </c>
    </row>
    <row r="29343" spans="13:13" x14ac:dyDescent="0.25">
      <c r="M29343" t="s">
        <v>259</v>
      </c>
    </row>
    <row r="29344" spans="13:13" x14ac:dyDescent="0.25">
      <c r="M29344" t="s">
        <v>260</v>
      </c>
    </row>
    <row r="29345" spans="13:13" x14ac:dyDescent="0.25">
      <c r="M29345" t="s">
        <v>261</v>
      </c>
    </row>
    <row r="29346" spans="13:13" x14ac:dyDescent="0.25">
      <c r="M29346" t="s">
        <v>262</v>
      </c>
    </row>
    <row r="29347" spans="13:13" x14ac:dyDescent="0.25">
      <c r="M29347" t="s">
        <v>263</v>
      </c>
    </row>
    <row r="29398" spans="13:13" x14ac:dyDescent="0.25">
      <c r="M29398" t="s">
        <v>264</v>
      </c>
    </row>
    <row r="29399" spans="13:13" x14ac:dyDescent="0.25">
      <c r="M29399" t="s">
        <v>265</v>
      </c>
    </row>
    <row r="29400" spans="13:13" x14ac:dyDescent="0.25">
      <c r="M29400" t="s">
        <v>266</v>
      </c>
    </row>
    <row r="29449" spans="13:13" x14ac:dyDescent="0.25">
      <c r="M29449" t="s">
        <v>267</v>
      </c>
    </row>
    <row r="29450" spans="13:13" x14ac:dyDescent="0.25">
      <c r="M29450" t="s">
        <v>268</v>
      </c>
    </row>
    <row r="29451" spans="13:13" x14ac:dyDescent="0.25">
      <c r="M29451" t="s">
        <v>269</v>
      </c>
    </row>
    <row r="29452" spans="13:13" x14ac:dyDescent="0.25">
      <c r="M29452" t="s">
        <v>270</v>
      </c>
    </row>
    <row r="29453" spans="13:13" x14ac:dyDescent="0.25">
      <c r="M29453" t="s">
        <v>271</v>
      </c>
    </row>
    <row r="29454" spans="13:13" x14ac:dyDescent="0.25">
      <c r="M29454" t="s">
        <v>272</v>
      </c>
    </row>
    <row r="29475" spans="13:13" x14ac:dyDescent="0.25">
      <c r="M29475" t="s">
        <v>273</v>
      </c>
    </row>
    <row r="29476" spans="13:13" x14ac:dyDescent="0.25">
      <c r="M29476" t="s">
        <v>274</v>
      </c>
    </row>
    <row r="29479" spans="13:13" x14ac:dyDescent="0.25">
      <c r="M29479" t="s">
        <v>275</v>
      </c>
    </row>
    <row r="29480" spans="13:13" x14ac:dyDescent="0.25">
      <c r="M29480" t="s">
        <v>276</v>
      </c>
    </row>
    <row r="29481" spans="13:13" x14ac:dyDescent="0.25">
      <c r="M29481" t="s">
        <v>277</v>
      </c>
    </row>
    <row r="29486" spans="13:13" x14ac:dyDescent="0.25">
      <c r="M29486" t="s">
        <v>278</v>
      </c>
    </row>
    <row r="29487" spans="13:13" x14ac:dyDescent="0.25">
      <c r="M29487" t="s">
        <v>279</v>
      </c>
    </row>
    <row r="29503" spans="13:13" x14ac:dyDescent="0.25">
      <c r="M29503" t="s">
        <v>203</v>
      </c>
    </row>
    <row r="29504" spans="13:13" x14ac:dyDescent="0.25">
      <c r="M29504" t="s">
        <v>204</v>
      </c>
    </row>
    <row r="29505" spans="13:13" x14ac:dyDescent="0.25">
      <c r="M29505" t="s">
        <v>205</v>
      </c>
    </row>
    <row r="29506" spans="13:13" x14ac:dyDescent="0.25">
      <c r="M29506" t="s">
        <v>206</v>
      </c>
    </row>
    <row r="29507" spans="13:13" x14ac:dyDescent="0.25">
      <c r="M29507" t="s">
        <v>207</v>
      </c>
    </row>
    <row r="29508" spans="13:13" x14ac:dyDescent="0.25">
      <c r="M29508" t="s">
        <v>208</v>
      </c>
    </row>
    <row r="29509" spans="13:13" x14ac:dyDescent="0.25">
      <c r="M29509" t="s">
        <v>209</v>
      </c>
    </row>
    <row r="29510" spans="13:13" x14ac:dyDescent="0.25">
      <c r="M29510" t="s">
        <v>210</v>
      </c>
    </row>
    <row r="29530" spans="13:13" x14ac:dyDescent="0.25">
      <c r="M29530" t="s">
        <v>211</v>
      </c>
    </row>
    <row r="29531" spans="13:13" x14ac:dyDescent="0.25">
      <c r="M29531" t="s">
        <v>212</v>
      </c>
    </row>
    <row r="29532" spans="13:13" x14ac:dyDescent="0.25">
      <c r="M29532" t="s">
        <v>213</v>
      </c>
    </row>
    <row r="29533" spans="13:13" x14ac:dyDescent="0.25">
      <c r="M29533" t="s">
        <v>214</v>
      </c>
    </row>
    <row r="29534" spans="13:13" x14ac:dyDescent="0.25">
      <c r="M29534" t="s">
        <v>215</v>
      </c>
    </row>
    <row r="29535" spans="13:13" x14ac:dyDescent="0.25">
      <c r="M29535" t="s">
        <v>216</v>
      </c>
    </row>
    <row r="29536" spans="13:13" x14ac:dyDescent="0.25">
      <c r="M29536" t="s">
        <v>217</v>
      </c>
    </row>
    <row r="29537" spans="13:13" x14ac:dyDescent="0.25">
      <c r="M29537" t="s">
        <v>218</v>
      </c>
    </row>
    <row r="29538" spans="13:13" x14ac:dyDescent="0.25">
      <c r="M29538" t="s">
        <v>219</v>
      </c>
    </row>
    <row r="29539" spans="13:13" x14ac:dyDescent="0.25">
      <c r="M29539" t="s">
        <v>220</v>
      </c>
    </row>
    <row r="29543" spans="13:13" x14ac:dyDescent="0.25">
      <c r="M29543" t="s">
        <v>221</v>
      </c>
    </row>
    <row r="29544" spans="13:13" x14ac:dyDescent="0.25">
      <c r="M29544" t="s">
        <v>222</v>
      </c>
    </row>
    <row r="29545" spans="13:13" x14ac:dyDescent="0.25">
      <c r="M29545" t="s">
        <v>223</v>
      </c>
    </row>
    <row r="29546" spans="13:13" x14ac:dyDescent="0.25">
      <c r="M29546" t="s">
        <v>224</v>
      </c>
    </row>
    <row r="29547" spans="13:13" x14ac:dyDescent="0.25">
      <c r="M29547" t="s">
        <v>225</v>
      </c>
    </row>
    <row r="29548" spans="13:13" x14ac:dyDescent="0.25">
      <c r="M29548" t="s">
        <v>226</v>
      </c>
    </row>
    <row r="29549" spans="13:13" x14ac:dyDescent="0.25">
      <c r="M29549" t="s">
        <v>227</v>
      </c>
    </row>
    <row r="29550" spans="13:13" x14ac:dyDescent="0.25">
      <c r="M29550" t="s">
        <v>228</v>
      </c>
    </row>
    <row r="29551" spans="13:13" x14ac:dyDescent="0.25">
      <c r="M29551" t="s">
        <v>229</v>
      </c>
    </row>
    <row r="29552" spans="13:13" x14ac:dyDescent="0.25">
      <c r="M29552" t="s">
        <v>230</v>
      </c>
    </row>
    <row r="29553" spans="13:13" x14ac:dyDescent="0.25">
      <c r="M29553" t="s">
        <v>231</v>
      </c>
    </row>
    <row r="29554" spans="13:13" x14ac:dyDescent="0.25">
      <c r="M29554" t="s">
        <v>232</v>
      </c>
    </row>
    <row r="29555" spans="13:13" x14ac:dyDescent="0.25">
      <c r="M29555" t="s">
        <v>233</v>
      </c>
    </row>
    <row r="29556" spans="13:13" x14ac:dyDescent="0.25">
      <c r="M29556" t="s">
        <v>234</v>
      </c>
    </row>
    <row r="29557" spans="13:13" x14ac:dyDescent="0.25">
      <c r="M29557" t="s">
        <v>235</v>
      </c>
    </row>
    <row r="29558" spans="13:13" x14ac:dyDescent="0.25">
      <c r="M29558" t="s">
        <v>236</v>
      </c>
    </row>
    <row r="29559" spans="13:13" x14ac:dyDescent="0.25">
      <c r="M29559" t="s">
        <v>237</v>
      </c>
    </row>
    <row r="29560" spans="13:13" x14ac:dyDescent="0.25">
      <c r="M29560" t="s">
        <v>238</v>
      </c>
    </row>
    <row r="29561" spans="13:13" x14ac:dyDescent="0.25">
      <c r="M29561" t="s">
        <v>239</v>
      </c>
    </row>
    <row r="29562" spans="13:13" x14ac:dyDescent="0.25">
      <c r="M29562" t="s">
        <v>240</v>
      </c>
    </row>
    <row r="29563" spans="13:13" x14ac:dyDescent="0.25">
      <c r="M29563" t="s">
        <v>241</v>
      </c>
    </row>
    <row r="29564" spans="13:13" x14ac:dyDescent="0.25">
      <c r="M29564" t="s">
        <v>242</v>
      </c>
    </row>
    <row r="29565" spans="13:13" x14ac:dyDescent="0.25">
      <c r="M29565" t="s">
        <v>243</v>
      </c>
    </row>
    <row r="29566" spans="13:13" x14ac:dyDescent="0.25">
      <c r="M29566" t="s">
        <v>244</v>
      </c>
    </row>
    <row r="29567" spans="13:13" x14ac:dyDescent="0.25">
      <c r="M29567" t="s">
        <v>245</v>
      </c>
    </row>
    <row r="29568" spans="13:13" x14ac:dyDescent="0.25">
      <c r="M29568" t="s">
        <v>246</v>
      </c>
    </row>
    <row r="29569" spans="13:13" x14ac:dyDescent="0.25">
      <c r="M29569" t="s">
        <v>247</v>
      </c>
    </row>
    <row r="29570" spans="13:13" x14ac:dyDescent="0.25">
      <c r="M29570" t="s">
        <v>248</v>
      </c>
    </row>
    <row r="29571" spans="13:13" x14ac:dyDescent="0.25">
      <c r="M29571" t="s">
        <v>249</v>
      </c>
    </row>
    <row r="29572" spans="13:13" x14ac:dyDescent="0.25">
      <c r="M29572" t="s">
        <v>250</v>
      </c>
    </row>
    <row r="29573" spans="13:13" x14ac:dyDescent="0.25">
      <c r="M29573" t="s">
        <v>251</v>
      </c>
    </row>
    <row r="29574" spans="13:13" x14ac:dyDescent="0.25">
      <c r="M29574" t="s">
        <v>252</v>
      </c>
    </row>
    <row r="29575" spans="13:13" x14ac:dyDescent="0.25">
      <c r="M29575" t="s">
        <v>253</v>
      </c>
    </row>
    <row r="29585" spans="13:13" x14ac:dyDescent="0.25">
      <c r="M29585" t="s">
        <v>254</v>
      </c>
    </row>
    <row r="29586" spans="13:13" x14ac:dyDescent="0.25">
      <c r="M29586" t="s">
        <v>83</v>
      </c>
    </row>
    <row r="29600" spans="13:13" x14ac:dyDescent="0.25">
      <c r="M29600" t="s">
        <v>255</v>
      </c>
    </row>
    <row r="29601" spans="13:13" x14ac:dyDescent="0.25">
      <c r="M29601" t="s">
        <v>256</v>
      </c>
    </row>
    <row r="29602" spans="13:13" x14ac:dyDescent="0.25">
      <c r="M29602" t="s">
        <v>257</v>
      </c>
    </row>
    <row r="29603" spans="13:13" x14ac:dyDescent="0.25">
      <c r="M29603" t="s">
        <v>258</v>
      </c>
    </row>
    <row r="29604" spans="13:13" x14ac:dyDescent="0.25">
      <c r="M29604" t="s">
        <v>259</v>
      </c>
    </row>
    <row r="29605" spans="13:13" x14ac:dyDescent="0.25">
      <c r="M29605" t="s">
        <v>260</v>
      </c>
    </row>
    <row r="29606" spans="13:13" x14ac:dyDescent="0.25">
      <c r="M29606" t="s">
        <v>261</v>
      </c>
    </row>
    <row r="29607" spans="13:13" x14ac:dyDescent="0.25">
      <c r="M29607" t="s">
        <v>262</v>
      </c>
    </row>
    <row r="29608" spans="13:13" x14ac:dyDescent="0.25">
      <c r="M29608" t="s">
        <v>263</v>
      </c>
    </row>
    <row r="29659" spans="13:13" x14ac:dyDescent="0.25">
      <c r="M29659" t="s">
        <v>264</v>
      </c>
    </row>
    <row r="29660" spans="13:13" x14ac:dyDescent="0.25">
      <c r="M29660" t="s">
        <v>265</v>
      </c>
    </row>
    <row r="29661" spans="13:13" x14ac:dyDescent="0.25">
      <c r="M29661" t="s">
        <v>266</v>
      </c>
    </row>
    <row r="29710" spans="13:13" x14ac:dyDescent="0.25">
      <c r="M29710" t="s">
        <v>267</v>
      </c>
    </row>
    <row r="29711" spans="13:13" x14ac:dyDescent="0.25">
      <c r="M29711" t="s">
        <v>268</v>
      </c>
    </row>
    <row r="29712" spans="13:13" x14ac:dyDescent="0.25">
      <c r="M29712" t="s">
        <v>269</v>
      </c>
    </row>
    <row r="29713" spans="13:13" x14ac:dyDescent="0.25">
      <c r="M29713" t="s">
        <v>270</v>
      </c>
    </row>
    <row r="29714" spans="13:13" x14ac:dyDescent="0.25">
      <c r="M29714" t="s">
        <v>271</v>
      </c>
    </row>
    <row r="29715" spans="13:13" x14ac:dyDescent="0.25">
      <c r="M29715" t="s">
        <v>272</v>
      </c>
    </row>
    <row r="29736" spans="13:13" x14ac:dyDescent="0.25">
      <c r="M29736" t="s">
        <v>273</v>
      </c>
    </row>
    <row r="29737" spans="13:13" x14ac:dyDescent="0.25">
      <c r="M29737" t="s">
        <v>274</v>
      </c>
    </row>
    <row r="29740" spans="13:13" x14ac:dyDescent="0.25">
      <c r="M29740" t="s">
        <v>275</v>
      </c>
    </row>
    <row r="29741" spans="13:13" x14ac:dyDescent="0.25">
      <c r="M29741" t="s">
        <v>276</v>
      </c>
    </row>
    <row r="29742" spans="13:13" x14ac:dyDescent="0.25">
      <c r="M29742" t="s">
        <v>277</v>
      </c>
    </row>
    <row r="29747" spans="13:13" x14ac:dyDescent="0.25">
      <c r="M29747" t="s">
        <v>278</v>
      </c>
    </row>
    <row r="29748" spans="13:13" x14ac:dyDescent="0.25">
      <c r="M29748" t="s">
        <v>279</v>
      </c>
    </row>
    <row r="29764" spans="13:13" x14ac:dyDescent="0.25">
      <c r="M29764" t="s">
        <v>203</v>
      </c>
    </row>
    <row r="29765" spans="13:13" x14ac:dyDescent="0.25">
      <c r="M29765" t="s">
        <v>204</v>
      </c>
    </row>
    <row r="29766" spans="13:13" x14ac:dyDescent="0.25">
      <c r="M29766" t="s">
        <v>205</v>
      </c>
    </row>
    <row r="29767" spans="13:13" x14ac:dyDescent="0.25">
      <c r="M29767" t="s">
        <v>206</v>
      </c>
    </row>
    <row r="29768" spans="13:13" x14ac:dyDescent="0.25">
      <c r="M29768" t="s">
        <v>207</v>
      </c>
    </row>
    <row r="29769" spans="13:13" x14ac:dyDescent="0.25">
      <c r="M29769" t="s">
        <v>208</v>
      </c>
    </row>
    <row r="29770" spans="13:13" x14ac:dyDescent="0.25">
      <c r="M29770" t="s">
        <v>209</v>
      </c>
    </row>
    <row r="29771" spans="13:13" x14ac:dyDescent="0.25">
      <c r="M29771" t="s">
        <v>210</v>
      </c>
    </row>
    <row r="29791" spans="13:13" x14ac:dyDescent="0.25">
      <c r="M29791" t="s">
        <v>211</v>
      </c>
    </row>
    <row r="29792" spans="13:13" x14ac:dyDescent="0.25">
      <c r="M29792" t="s">
        <v>212</v>
      </c>
    </row>
    <row r="29793" spans="13:13" x14ac:dyDescent="0.25">
      <c r="M29793" t="s">
        <v>213</v>
      </c>
    </row>
    <row r="29794" spans="13:13" x14ac:dyDescent="0.25">
      <c r="M29794" t="s">
        <v>214</v>
      </c>
    </row>
    <row r="29795" spans="13:13" x14ac:dyDescent="0.25">
      <c r="M29795" t="s">
        <v>215</v>
      </c>
    </row>
    <row r="29796" spans="13:13" x14ac:dyDescent="0.25">
      <c r="M29796" t="s">
        <v>216</v>
      </c>
    </row>
    <row r="29797" spans="13:13" x14ac:dyDescent="0.25">
      <c r="M29797" t="s">
        <v>217</v>
      </c>
    </row>
    <row r="29798" spans="13:13" x14ac:dyDescent="0.25">
      <c r="M29798" t="s">
        <v>218</v>
      </c>
    </row>
    <row r="29799" spans="13:13" x14ac:dyDescent="0.25">
      <c r="M29799" t="s">
        <v>219</v>
      </c>
    </row>
    <row r="29800" spans="13:13" x14ac:dyDescent="0.25">
      <c r="M29800" t="s">
        <v>220</v>
      </c>
    </row>
    <row r="29804" spans="13:13" x14ac:dyDescent="0.25">
      <c r="M29804" t="s">
        <v>221</v>
      </c>
    </row>
    <row r="29805" spans="13:13" x14ac:dyDescent="0.25">
      <c r="M29805" t="s">
        <v>222</v>
      </c>
    </row>
    <row r="29806" spans="13:13" x14ac:dyDescent="0.25">
      <c r="M29806" t="s">
        <v>223</v>
      </c>
    </row>
    <row r="29807" spans="13:13" x14ac:dyDescent="0.25">
      <c r="M29807" t="s">
        <v>224</v>
      </c>
    </row>
    <row r="29808" spans="13:13" x14ac:dyDescent="0.25">
      <c r="M29808" t="s">
        <v>225</v>
      </c>
    </row>
    <row r="29809" spans="13:13" x14ac:dyDescent="0.25">
      <c r="M29809" t="s">
        <v>226</v>
      </c>
    </row>
    <row r="29810" spans="13:13" x14ac:dyDescent="0.25">
      <c r="M29810" t="s">
        <v>227</v>
      </c>
    </row>
    <row r="29811" spans="13:13" x14ac:dyDescent="0.25">
      <c r="M29811" t="s">
        <v>228</v>
      </c>
    </row>
    <row r="29812" spans="13:13" x14ac:dyDescent="0.25">
      <c r="M29812" t="s">
        <v>229</v>
      </c>
    </row>
    <row r="29813" spans="13:13" x14ac:dyDescent="0.25">
      <c r="M29813" t="s">
        <v>230</v>
      </c>
    </row>
    <row r="29814" spans="13:13" x14ac:dyDescent="0.25">
      <c r="M29814" t="s">
        <v>231</v>
      </c>
    </row>
    <row r="29815" spans="13:13" x14ac:dyDescent="0.25">
      <c r="M29815" t="s">
        <v>232</v>
      </c>
    </row>
    <row r="29816" spans="13:13" x14ac:dyDescent="0.25">
      <c r="M29816" t="s">
        <v>233</v>
      </c>
    </row>
    <row r="29817" spans="13:13" x14ac:dyDescent="0.25">
      <c r="M29817" t="s">
        <v>234</v>
      </c>
    </row>
    <row r="29818" spans="13:13" x14ac:dyDescent="0.25">
      <c r="M29818" t="s">
        <v>235</v>
      </c>
    </row>
    <row r="29819" spans="13:13" x14ac:dyDescent="0.25">
      <c r="M29819" t="s">
        <v>236</v>
      </c>
    </row>
    <row r="29820" spans="13:13" x14ac:dyDescent="0.25">
      <c r="M29820" t="s">
        <v>237</v>
      </c>
    </row>
    <row r="29821" spans="13:13" x14ac:dyDescent="0.25">
      <c r="M29821" t="s">
        <v>238</v>
      </c>
    </row>
    <row r="29822" spans="13:13" x14ac:dyDescent="0.25">
      <c r="M29822" t="s">
        <v>239</v>
      </c>
    </row>
    <row r="29823" spans="13:13" x14ac:dyDescent="0.25">
      <c r="M29823" t="s">
        <v>240</v>
      </c>
    </row>
    <row r="29824" spans="13:13" x14ac:dyDescent="0.25">
      <c r="M29824" t="s">
        <v>241</v>
      </c>
    </row>
    <row r="29825" spans="13:13" x14ac:dyDescent="0.25">
      <c r="M29825" t="s">
        <v>242</v>
      </c>
    </row>
    <row r="29826" spans="13:13" x14ac:dyDescent="0.25">
      <c r="M29826" t="s">
        <v>243</v>
      </c>
    </row>
    <row r="29827" spans="13:13" x14ac:dyDescent="0.25">
      <c r="M29827" t="s">
        <v>244</v>
      </c>
    </row>
    <row r="29828" spans="13:13" x14ac:dyDescent="0.25">
      <c r="M29828" t="s">
        <v>245</v>
      </c>
    </row>
    <row r="29829" spans="13:13" x14ac:dyDescent="0.25">
      <c r="M29829" t="s">
        <v>246</v>
      </c>
    </row>
    <row r="29830" spans="13:13" x14ac:dyDescent="0.25">
      <c r="M29830" t="s">
        <v>247</v>
      </c>
    </row>
    <row r="29831" spans="13:13" x14ac:dyDescent="0.25">
      <c r="M29831" t="s">
        <v>248</v>
      </c>
    </row>
    <row r="29832" spans="13:13" x14ac:dyDescent="0.25">
      <c r="M29832" t="s">
        <v>249</v>
      </c>
    </row>
    <row r="29833" spans="13:13" x14ac:dyDescent="0.25">
      <c r="M29833" t="s">
        <v>250</v>
      </c>
    </row>
    <row r="29834" spans="13:13" x14ac:dyDescent="0.25">
      <c r="M29834" t="s">
        <v>251</v>
      </c>
    </row>
    <row r="29835" spans="13:13" x14ac:dyDescent="0.25">
      <c r="M29835" t="s">
        <v>252</v>
      </c>
    </row>
    <row r="29836" spans="13:13" x14ac:dyDescent="0.25">
      <c r="M29836" t="s">
        <v>253</v>
      </c>
    </row>
    <row r="29846" spans="13:13" x14ac:dyDescent="0.25">
      <c r="M29846" t="s">
        <v>254</v>
      </c>
    </row>
    <row r="29847" spans="13:13" x14ac:dyDescent="0.25">
      <c r="M29847" t="s">
        <v>83</v>
      </c>
    </row>
    <row r="29861" spans="13:13" x14ac:dyDescent="0.25">
      <c r="M29861" t="s">
        <v>255</v>
      </c>
    </row>
    <row r="29862" spans="13:13" x14ac:dyDescent="0.25">
      <c r="M29862" t="s">
        <v>256</v>
      </c>
    </row>
    <row r="29863" spans="13:13" x14ac:dyDescent="0.25">
      <c r="M29863" t="s">
        <v>257</v>
      </c>
    </row>
    <row r="29864" spans="13:13" x14ac:dyDescent="0.25">
      <c r="M29864" t="s">
        <v>258</v>
      </c>
    </row>
    <row r="29865" spans="13:13" x14ac:dyDescent="0.25">
      <c r="M29865" t="s">
        <v>259</v>
      </c>
    </row>
    <row r="29866" spans="13:13" x14ac:dyDescent="0.25">
      <c r="M29866" t="s">
        <v>260</v>
      </c>
    </row>
    <row r="29867" spans="13:13" x14ac:dyDescent="0.25">
      <c r="M29867" t="s">
        <v>261</v>
      </c>
    </row>
    <row r="29868" spans="13:13" x14ac:dyDescent="0.25">
      <c r="M29868" t="s">
        <v>262</v>
      </c>
    </row>
    <row r="29869" spans="13:13" x14ac:dyDescent="0.25">
      <c r="M29869" t="s">
        <v>263</v>
      </c>
    </row>
    <row r="29920" spans="13:13" x14ac:dyDescent="0.25">
      <c r="M29920" t="s">
        <v>264</v>
      </c>
    </row>
    <row r="29921" spans="13:13" x14ac:dyDescent="0.25">
      <c r="M29921" t="s">
        <v>265</v>
      </c>
    </row>
    <row r="29922" spans="13:13" x14ac:dyDescent="0.25">
      <c r="M29922" t="s">
        <v>266</v>
      </c>
    </row>
    <row r="29971" spans="13:13" x14ac:dyDescent="0.25">
      <c r="M29971" t="s">
        <v>267</v>
      </c>
    </row>
    <row r="29972" spans="13:13" x14ac:dyDescent="0.25">
      <c r="M29972" t="s">
        <v>268</v>
      </c>
    </row>
    <row r="29973" spans="13:13" x14ac:dyDescent="0.25">
      <c r="M29973" t="s">
        <v>269</v>
      </c>
    </row>
    <row r="29974" spans="13:13" x14ac:dyDescent="0.25">
      <c r="M29974" t="s">
        <v>270</v>
      </c>
    </row>
    <row r="29975" spans="13:13" x14ac:dyDescent="0.25">
      <c r="M29975" t="s">
        <v>271</v>
      </c>
    </row>
    <row r="29976" spans="13:13" x14ac:dyDescent="0.25">
      <c r="M29976" t="s">
        <v>272</v>
      </c>
    </row>
    <row r="29997" spans="13:13" x14ac:dyDescent="0.25">
      <c r="M29997" t="s">
        <v>273</v>
      </c>
    </row>
    <row r="29998" spans="13:13" x14ac:dyDescent="0.25">
      <c r="M29998" t="s">
        <v>274</v>
      </c>
    </row>
    <row r="30001" spans="13:13" x14ac:dyDescent="0.25">
      <c r="M30001" t="s">
        <v>275</v>
      </c>
    </row>
    <row r="30002" spans="13:13" x14ac:dyDescent="0.25">
      <c r="M30002" t="s">
        <v>276</v>
      </c>
    </row>
    <row r="30003" spans="13:13" x14ac:dyDescent="0.25">
      <c r="M30003" t="s">
        <v>277</v>
      </c>
    </row>
    <row r="30008" spans="13:13" x14ac:dyDescent="0.25">
      <c r="M30008" t="s">
        <v>278</v>
      </c>
    </row>
    <row r="30009" spans="13:13" x14ac:dyDescent="0.25">
      <c r="M30009" t="s">
        <v>279</v>
      </c>
    </row>
    <row r="30025" spans="13:13" x14ac:dyDescent="0.25">
      <c r="M30025" t="s">
        <v>203</v>
      </c>
    </row>
    <row r="30026" spans="13:13" x14ac:dyDescent="0.25">
      <c r="M30026" t="s">
        <v>204</v>
      </c>
    </row>
    <row r="30027" spans="13:13" x14ac:dyDescent="0.25">
      <c r="M30027" t="s">
        <v>205</v>
      </c>
    </row>
    <row r="30028" spans="13:13" x14ac:dyDescent="0.25">
      <c r="M30028" t="s">
        <v>206</v>
      </c>
    </row>
    <row r="30029" spans="13:13" x14ac:dyDescent="0.25">
      <c r="M30029" t="s">
        <v>207</v>
      </c>
    </row>
    <row r="30030" spans="13:13" x14ac:dyDescent="0.25">
      <c r="M30030" t="s">
        <v>208</v>
      </c>
    </row>
    <row r="30031" spans="13:13" x14ac:dyDescent="0.25">
      <c r="M30031" t="s">
        <v>209</v>
      </c>
    </row>
    <row r="30032" spans="13:13" x14ac:dyDescent="0.25">
      <c r="M30032" t="s">
        <v>210</v>
      </c>
    </row>
    <row r="30052" spans="13:13" x14ac:dyDescent="0.25">
      <c r="M30052" t="s">
        <v>211</v>
      </c>
    </row>
    <row r="30053" spans="13:13" x14ac:dyDescent="0.25">
      <c r="M30053" t="s">
        <v>212</v>
      </c>
    </row>
    <row r="30054" spans="13:13" x14ac:dyDescent="0.25">
      <c r="M30054" t="s">
        <v>213</v>
      </c>
    </row>
    <row r="30055" spans="13:13" x14ac:dyDescent="0.25">
      <c r="M30055" t="s">
        <v>214</v>
      </c>
    </row>
    <row r="30056" spans="13:13" x14ac:dyDescent="0.25">
      <c r="M30056" t="s">
        <v>215</v>
      </c>
    </row>
    <row r="30057" spans="13:13" x14ac:dyDescent="0.25">
      <c r="M30057" t="s">
        <v>216</v>
      </c>
    </row>
    <row r="30058" spans="13:13" x14ac:dyDescent="0.25">
      <c r="M30058" t="s">
        <v>217</v>
      </c>
    </row>
    <row r="30059" spans="13:13" x14ac:dyDescent="0.25">
      <c r="M30059" t="s">
        <v>218</v>
      </c>
    </row>
    <row r="30060" spans="13:13" x14ac:dyDescent="0.25">
      <c r="M30060" t="s">
        <v>219</v>
      </c>
    </row>
    <row r="30061" spans="13:13" x14ac:dyDescent="0.25">
      <c r="M30061" t="s">
        <v>220</v>
      </c>
    </row>
    <row r="30065" spans="13:13" x14ac:dyDescent="0.25">
      <c r="M30065" t="s">
        <v>221</v>
      </c>
    </row>
    <row r="30066" spans="13:13" x14ac:dyDescent="0.25">
      <c r="M30066" t="s">
        <v>222</v>
      </c>
    </row>
    <row r="30067" spans="13:13" x14ac:dyDescent="0.25">
      <c r="M30067" t="s">
        <v>223</v>
      </c>
    </row>
    <row r="30068" spans="13:13" x14ac:dyDescent="0.25">
      <c r="M30068" t="s">
        <v>224</v>
      </c>
    </row>
    <row r="30069" spans="13:13" x14ac:dyDescent="0.25">
      <c r="M30069" t="s">
        <v>225</v>
      </c>
    </row>
    <row r="30070" spans="13:13" x14ac:dyDescent="0.25">
      <c r="M30070" t="s">
        <v>226</v>
      </c>
    </row>
    <row r="30071" spans="13:13" x14ac:dyDescent="0.25">
      <c r="M30071" t="s">
        <v>227</v>
      </c>
    </row>
    <row r="30072" spans="13:13" x14ac:dyDescent="0.25">
      <c r="M30072" t="s">
        <v>228</v>
      </c>
    </row>
    <row r="30073" spans="13:13" x14ac:dyDescent="0.25">
      <c r="M30073" t="s">
        <v>229</v>
      </c>
    </row>
    <row r="30074" spans="13:13" x14ac:dyDescent="0.25">
      <c r="M30074" t="s">
        <v>230</v>
      </c>
    </row>
    <row r="30075" spans="13:13" x14ac:dyDescent="0.25">
      <c r="M30075" t="s">
        <v>231</v>
      </c>
    </row>
    <row r="30076" spans="13:13" x14ac:dyDescent="0.25">
      <c r="M30076" t="s">
        <v>232</v>
      </c>
    </row>
    <row r="30077" spans="13:13" x14ac:dyDescent="0.25">
      <c r="M30077" t="s">
        <v>233</v>
      </c>
    </row>
    <row r="30078" spans="13:13" x14ac:dyDescent="0.25">
      <c r="M30078" t="s">
        <v>234</v>
      </c>
    </row>
    <row r="30079" spans="13:13" x14ac:dyDescent="0.25">
      <c r="M30079" t="s">
        <v>235</v>
      </c>
    </row>
    <row r="30080" spans="13:13" x14ac:dyDescent="0.25">
      <c r="M30080" t="s">
        <v>236</v>
      </c>
    </row>
    <row r="30081" spans="13:13" x14ac:dyDescent="0.25">
      <c r="M30081" t="s">
        <v>237</v>
      </c>
    </row>
    <row r="30082" spans="13:13" x14ac:dyDescent="0.25">
      <c r="M30082" t="s">
        <v>238</v>
      </c>
    </row>
    <row r="30083" spans="13:13" x14ac:dyDescent="0.25">
      <c r="M30083" t="s">
        <v>239</v>
      </c>
    </row>
    <row r="30084" spans="13:13" x14ac:dyDescent="0.25">
      <c r="M30084" t="s">
        <v>240</v>
      </c>
    </row>
    <row r="30085" spans="13:13" x14ac:dyDescent="0.25">
      <c r="M30085" t="s">
        <v>241</v>
      </c>
    </row>
    <row r="30086" spans="13:13" x14ac:dyDescent="0.25">
      <c r="M30086" t="s">
        <v>242</v>
      </c>
    </row>
    <row r="30087" spans="13:13" x14ac:dyDescent="0.25">
      <c r="M30087" t="s">
        <v>243</v>
      </c>
    </row>
    <row r="30088" spans="13:13" x14ac:dyDescent="0.25">
      <c r="M30088" t="s">
        <v>244</v>
      </c>
    </row>
    <row r="30089" spans="13:13" x14ac:dyDescent="0.25">
      <c r="M30089" t="s">
        <v>245</v>
      </c>
    </row>
    <row r="30090" spans="13:13" x14ac:dyDescent="0.25">
      <c r="M30090" t="s">
        <v>246</v>
      </c>
    </row>
    <row r="30091" spans="13:13" x14ac:dyDescent="0.25">
      <c r="M30091" t="s">
        <v>247</v>
      </c>
    </row>
    <row r="30092" spans="13:13" x14ac:dyDescent="0.25">
      <c r="M30092" t="s">
        <v>248</v>
      </c>
    </row>
    <row r="30093" spans="13:13" x14ac:dyDescent="0.25">
      <c r="M30093" t="s">
        <v>249</v>
      </c>
    </row>
    <row r="30094" spans="13:13" x14ac:dyDescent="0.25">
      <c r="M30094" t="s">
        <v>250</v>
      </c>
    </row>
    <row r="30095" spans="13:13" x14ac:dyDescent="0.25">
      <c r="M30095" t="s">
        <v>251</v>
      </c>
    </row>
    <row r="30096" spans="13:13" x14ac:dyDescent="0.25">
      <c r="M30096" t="s">
        <v>252</v>
      </c>
    </row>
    <row r="30097" spans="13:13" x14ac:dyDescent="0.25">
      <c r="M30097" t="s">
        <v>253</v>
      </c>
    </row>
    <row r="30107" spans="13:13" x14ac:dyDescent="0.25">
      <c r="M30107" t="s">
        <v>254</v>
      </c>
    </row>
    <row r="30108" spans="13:13" x14ac:dyDescent="0.25">
      <c r="M30108" t="s">
        <v>83</v>
      </c>
    </row>
    <row r="30122" spans="13:13" x14ac:dyDescent="0.25">
      <c r="M30122" t="s">
        <v>255</v>
      </c>
    </row>
    <row r="30123" spans="13:13" x14ac:dyDescent="0.25">
      <c r="M30123" t="s">
        <v>256</v>
      </c>
    </row>
    <row r="30124" spans="13:13" x14ac:dyDescent="0.25">
      <c r="M30124" t="s">
        <v>257</v>
      </c>
    </row>
    <row r="30125" spans="13:13" x14ac:dyDescent="0.25">
      <c r="M30125" t="s">
        <v>258</v>
      </c>
    </row>
    <row r="30126" spans="13:13" x14ac:dyDescent="0.25">
      <c r="M30126" t="s">
        <v>259</v>
      </c>
    </row>
    <row r="30127" spans="13:13" x14ac:dyDescent="0.25">
      <c r="M30127" t="s">
        <v>260</v>
      </c>
    </row>
    <row r="30128" spans="13:13" x14ac:dyDescent="0.25">
      <c r="M30128" t="s">
        <v>261</v>
      </c>
    </row>
    <row r="30129" spans="13:13" x14ac:dyDescent="0.25">
      <c r="M30129" t="s">
        <v>262</v>
      </c>
    </row>
    <row r="30130" spans="13:13" x14ac:dyDescent="0.25">
      <c r="M30130" t="s">
        <v>263</v>
      </c>
    </row>
    <row r="30181" spans="13:13" x14ac:dyDescent="0.25">
      <c r="M30181" t="s">
        <v>264</v>
      </c>
    </row>
    <row r="30182" spans="13:13" x14ac:dyDescent="0.25">
      <c r="M30182" t="s">
        <v>265</v>
      </c>
    </row>
    <row r="30183" spans="13:13" x14ac:dyDescent="0.25">
      <c r="M30183" t="s">
        <v>266</v>
      </c>
    </row>
    <row r="30232" spans="13:13" x14ac:dyDescent="0.25">
      <c r="M30232" t="s">
        <v>267</v>
      </c>
    </row>
    <row r="30233" spans="13:13" x14ac:dyDescent="0.25">
      <c r="M30233" t="s">
        <v>268</v>
      </c>
    </row>
    <row r="30234" spans="13:13" x14ac:dyDescent="0.25">
      <c r="M30234" t="s">
        <v>269</v>
      </c>
    </row>
    <row r="30235" spans="13:13" x14ac:dyDescent="0.25">
      <c r="M30235" t="s">
        <v>270</v>
      </c>
    </row>
    <row r="30236" spans="13:13" x14ac:dyDescent="0.25">
      <c r="M30236" t="s">
        <v>271</v>
      </c>
    </row>
    <row r="30237" spans="13:13" x14ac:dyDescent="0.25">
      <c r="M30237" t="s">
        <v>272</v>
      </c>
    </row>
    <row r="30258" spans="13:13" x14ac:dyDescent="0.25">
      <c r="M30258" t="s">
        <v>273</v>
      </c>
    </row>
    <row r="30259" spans="13:13" x14ac:dyDescent="0.25">
      <c r="M30259" t="s">
        <v>274</v>
      </c>
    </row>
    <row r="30262" spans="13:13" x14ac:dyDescent="0.25">
      <c r="M30262" t="s">
        <v>275</v>
      </c>
    </row>
    <row r="30263" spans="13:13" x14ac:dyDescent="0.25">
      <c r="M30263" t="s">
        <v>276</v>
      </c>
    </row>
    <row r="30264" spans="13:13" x14ac:dyDescent="0.25">
      <c r="M30264" t="s">
        <v>277</v>
      </c>
    </row>
    <row r="30269" spans="13:13" x14ac:dyDescent="0.25">
      <c r="M30269" t="s">
        <v>278</v>
      </c>
    </row>
    <row r="30270" spans="13:13" x14ac:dyDescent="0.25">
      <c r="M30270" t="s">
        <v>279</v>
      </c>
    </row>
    <row r="30286" spans="13:13" x14ac:dyDescent="0.25">
      <c r="M30286" t="s">
        <v>203</v>
      </c>
    </row>
    <row r="30287" spans="13:13" x14ac:dyDescent="0.25">
      <c r="M30287" t="s">
        <v>204</v>
      </c>
    </row>
    <row r="30288" spans="13:13" x14ac:dyDescent="0.25">
      <c r="M30288" t="s">
        <v>205</v>
      </c>
    </row>
    <row r="30289" spans="13:13" x14ac:dyDescent="0.25">
      <c r="M30289" t="s">
        <v>206</v>
      </c>
    </row>
    <row r="30290" spans="13:13" x14ac:dyDescent="0.25">
      <c r="M30290" t="s">
        <v>207</v>
      </c>
    </row>
    <row r="30291" spans="13:13" x14ac:dyDescent="0.25">
      <c r="M30291" t="s">
        <v>208</v>
      </c>
    </row>
    <row r="30292" spans="13:13" x14ac:dyDescent="0.25">
      <c r="M30292" t="s">
        <v>209</v>
      </c>
    </row>
    <row r="30293" spans="13:13" x14ac:dyDescent="0.25">
      <c r="M30293" t="s">
        <v>210</v>
      </c>
    </row>
    <row r="30313" spans="13:13" x14ac:dyDescent="0.25">
      <c r="M30313" t="s">
        <v>211</v>
      </c>
    </row>
    <row r="30314" spans="13:13" x14ac:dyDescent="0.25">
      <c r="M30314" t="s">
        <v>212</v>
      </c>
    </row>
    <row r="30315" spans="13:13" x14ac:dyDescent="0.25">
      <c r="M30315" t="s">
        <v>213</v>
      </c>
    </row>
    <row r="30316" spans="13:13" x14ac:dyDescent="0.25">
      <c r="M30316" t="s">
        <v>214</v>
      </c>
    </row>
    <row r="30317" spans="13:13" x14ac:dyDescent="0.25">
      <c r="M30317" t="s">
        <v>215</v>
      </c>
    </row>
    <row r="30318" spans="13:13" x14ac:dyDescent="0.25">
      <c r="M30318" t="s">
        <v>216</v>
      </c>
    </row>
    <row r="30319" spans="13:13" x14ac:dyDescent="0.25">
      <c r="M30319" t="s">
        <v>217</v>
      </c>
    </row>
    <row r="30320" spans="13:13" x14ac:dyDescent="0.25">
      <c r="M30320" t="s">
        <v>218</v>
      </c>
    </row>
    <row r="30321" spans="13:13" x14ac:dyDescent="0.25">
      <c r="M30321" t="s">
        <v>219</v>
      </c>
    </row>
    <row r="30322" spans="13:13" x14ac:dyDescent="0.25">
      <c r="M30322" t="s">
        <v>220</v>
      </c>
    </row>
    <row r="30326" spans="13:13" x14ac:dyDescent="0.25">
      <c r="M30326" t="s">
        <v>221</v>
      </c>
    </row>
    <row r="30327" spans="13:13" x14ac:dyDescent="0.25">
      <c r="M30327" t="s">
        <v>222</v>
      </c>
    </row>
    <row r="30328" spans="13:13" x14ac:dyDescent="0.25">
      <c r="M30328" t="s">
        <v>223</v>
      </c>
    </row>
    <row r="30329" spans="13:13" x14ac:dyDescent="0.25">
      <c r="M30329" t="s">
        <v>224</v>
      </c>
    </row>
    <row r="30330" spans="13:13" x14ac:dyDescent="0.25">
      <c r="M30330" t="s">
        <v>225</v>
      </c>
    </row>
    <row r="30331" spans="13:13" x14ac:dyDescent="0.25">
      <c r="M30331" t="s">
        <v>226</v>
      </c>
    </row>
    <row r="30332" spans="13:13" x14ac:dyDescent="0.25">
      <c r="M30332" t="s">
        <v>227</v>
      </c>
    </row>
    <row r="30333" spans="13:13" x14ac:dyDescent="0.25">
      <c r="M30333" t="s">
        <v>228</v>
      </c>
    </row>
    <row r="30334" spans="13:13" x14ac:dyDescent="0.25">
      <c r="M30334" t="s">
        <v>229</v>
      </c>
    </row>
    <row r="30335" spans="13:13" x14ac:dyDescent="0.25">
      <c r="M30335" t="s">
        <v>230</v>
      </c>
    </row>
    <row r="30336" spans="13:13" x14ac:dyDescent="0.25">
      <c r="M30336" t="s">
        <v>231</v>
      </c>
    </row>
    <row r="30337" spans="13:13" x14ac:dyDescent="0.25">
      <c r="M30337" t="s">
        <v>232</v>
      </c>
    </row>
    <row r="30338" spans="13:13" x14ac:dyDescent="0.25">
      <c r="M30338" t="s">
        <v>233</v>
      </c>
    </row>
    <row r="30339" spans="13:13" x14ac:dyDescent="0.25">
      <c r="M30339" t="s">
        <v>234</v>
      </c>
    </row>
    <row r="30340" spans="13:13" x14ac:dyDescent="0.25">
      <c r="M30340" t="s">
        <v>235</v>
      </c>
    </row>
    <row r="30341" spans="13:13" x14ac:dyDescent="0.25">
      <c r="M30341" t="s">
        <v>236</v>
      </c>
    </row>
    <row r="30342" spans="13:13" x14ac:dyDescent="0.25">
      <c r="M30342" t="s">
        <v>237</v>
      </c>
    </row>
    <row r="30343" spans="13:13" x14ac:dyDescent="0.25">
      <c r="M30343" t="s">
        <v>238</v>
      </c>
    </row>
    <row r="30344" spans="13:13" x14ac:dyDescent="0.25">
      <c r="M30344" t="s">
        <v>239</v>
      </c>
    </row>
    <row r="30345" spans="13:13" x14ac:dyDescent="0.25">
      <c r="M30345" t="s">
        <v>240</v>
      </c>
    </row>
    <row r="30346" spans="13:13" x14ac:dyDescent="0.25">
      <c r="M30346" t="s">
        <v>241</v>
      </c>
    </row>
    <row r="30347" spans="13:13" x14ac:dyDescent="0.25">
      <c r="M30347" t="s">
        <v>242</v>
      </c>
    </row>
    <row r="30348" spans="13:13" x14ac:dyDescent="0.25">
      <c r="M30348" t="s">
        <v>243</v>
      </c>
    </row>
    <row r="30349" spans="13:13" x14ac:dyDescent="0.25">
      <c r="M30349" t="s">
        <v>244</v>
      </c>
    </row>
    <row r="30350" spans="13:13" x14ac:dyDescent="0.25">
      <c r="M30350" t="s">
        <v>245</v>
      </c>
    </row>
    <row r="30351" spans="13:13" x14ac:dyDescent="0.25">
      <c r="M30351" t="s">
        <v>246</v>
      </c>
    </row>
    <row r="30352" spans="13:13" x14ac:dyDescent="0.25">
      <c r="M30352" t="s">
        <v>247</v>
      </c>
    </row>
    <row r="30353" spans="13:13" x14ac:dyDescent="0.25">
      <c r="M30353" t="s">
        <v>248</v>
      </c>
    </row>
    <row r="30354" spans="13:13" x14ac:dyDescent="0.25">
      <c r="M30354" t="s">
        <v>249</v>
      </c>
    </row>
    <row r="30355" spans="13:13" x14ac:dyDescent="0.25">
      <c r="M30355" t="s">
        <v>250</v>
      </c>
    </row>
    <row r="30356" spans="13:13" x14ac:dyDescent="0.25">
      <c r="M30356" t="s">
        <v>251</v>
      </c>
    </row>
    <row r="30357" spans="13:13" x14ac:dyDescent="0.25">
      <c r="M30357" t="s">
        <v>252</v>
      </c>
    </row>
    <row r="30358" spans="13:13" x14ac:dyDescent="0.25">
      <c r="M30358" t="s">
        <v>253</v>
      </c>
    </row>
    <row r="30368" spans="13:13" x14ac:dyDescent="0.25">
      <c r="M30368" t="s">
        <v>254</v>
      </c>
    </row>
    <row r="30369" spans="13:13" x14ac:dyDescent="0.25">
      <c r="M30369" t="s">
        <v>83</v>
      </c>
    </row>
    <row r="30383" spans="13:13" x14ac:dyDescent="0.25">
      <c r="M30383" t="s">
        <v>255</v>
      </c>
    </row>
    <row r="30384" spans="13:13" x14ac:dyDescent="0.25">
      <c r="M30384" t="s">
        <v>256</v>
      </c>
    </row>
    <row r="30385" spans="13:13" x14ac:dyDescent="0.25">
      <c r="M30385" t="s">
        <v>257</v>
      </c>
    </row>
    <row r="30386" spans="13:13" x14ac:dyDescent="0.25">
      <c r="M30386" t="s">
        <v>258</v>
      </c>
    </row>
    <row r="30387" spans="13:13" x14ac:dyDescent="0.25">
      <c r="M30387" t="s">
        <v>259</v>
      </c>
    </row>
    <row r="30388" spans="13:13" x14ac:dyDescent="0.25">
      <c r="M30388" t="s">
        <v>260</v>
      </c>
    </row>
    <row r="30389" spans="13:13" x14ac:dyDescent="0.25">
      <c r="M30389" t="s">
        <v>261</v>
      </c>
    </row>
    <row r="30390" spans="13:13" x14ac:dyDescent="0.25">
      <c r="M30390" t="s">
        <v>262</v>
      </c>
    </row>
    <row r="30391" spans="13:13" x14ac:dyDescent="0.25">
      <c r="M30391" t="s">
        <v>263</v>
      </c>
    </row>
    <row r="30442" spans="13:13" x14ac:dyDescent="0.25">
      <c r="M30442" t="s">
        <v>264</v>
      </c>
    </row>
    <row r="30443" spans="13:13" x14ac:dyDescent="0.25">
      <c r="M30443" t="s">
        <v>265</v>
      </c>
    </row>
    <row r="30444" spans="13:13" x14ac:dyDescent="0.25">
      <c r="M30444" t="s">
        <v>266</v>
      </c>
    </row>
    <row r="30493" spans="13:13" x14ac:dyDescent="0.25">
      <c r="M30493" t="s">
        <v>267</v>
      </c>
    </row>
    <row r="30494" spans="13:13" x14ac:dyDescent="0.25">
      <c r="M30494" t="s">
        <v>268</v>
      </c>
    </row>
    <row r="30495" spans="13:13" x14ac:dyDescent="0.25">
      <c r="M30495" t="s">
        <v>269</v>
      </c>
    </row>
    <row r="30496" spans="13:13" x14ac:dyDescent="0.25">
      <c r="M30496" t="s">
        <v>270</v>
      </c>
    </row>
    <row r="30497" spans="13:13" x14ac:dyDescent="0.25">
      <c r="M30497" t="s">
        <v>271</v>
      </c>
    </row>
    <row r="30498" spans="13:13" x14ac:dyDescent="0.25">
      <c r="M30498" t="s">
        <v>272</v>
      </c>
    </row>
    <row r="30519" spans="13:13" x14ac:dyDescent="0.25">
      <c r="M30519" t="s">
        <v>273</v>
      </c>
    </row>
    <row r="30520" spans="13:13" x14ac:dyDescent="0.25">
      <c r="M30520" t="s">
        <v>274</v>
      </c>
    </row>
    <row r="30523" spans="13:13" x14ac:dyDescent="0.25">
      <c r="M30523" t="s">
        <v>275</v>
      </c>
    </row>
    <row r="30524" spans="13:13" x14ac:dyDescent="0.25">
      <c r="M30524" t="s">
        <v>276</v>
      </c>
    </row>
    <row r="30525" spans="13:13" x14ac:dyDescent="0.25">
      <c r="M30525" t="s">
        <v>277</v>
      </c>
    </row>
    <row r="30530" spans="13:13" x14ac:dyDescent="0.25">
      <c r="M30530" t="s">
        <v>278</v>
      </c>
    </row>
    <row r="30531" spans="13:13" x14ac:dyDescent="0.25">
      <c r="M30531" t="s">
        <v>279</v>
      </c>
    </row>
    <row r="30547" spans="13:13" x14ac:dyDescent="0.25">
      <c r="M30547" t="s">
        <v>203</v>
      </c>
    </row>
    <row r="30548" spans="13:13" x14ac:dyDescent="0.25">
      <c r="M30548" t="s">
        <v>204</v>
      </c>
    </row>
    <row r="30549" spans="13:13" x14ac:dyDescent="0.25">
      <c r="M30549" t="s">
        <v>205</v>
      </c>
    </row>
    <row r="30550" spans="13:13" x14ac:dyDescent="0.25">
      <c r="M30550" t="s">
        <v>206</v>
      </c>
    </row>
    <row r="30551" spans="13:13" x14ac:dyDescent="0.25">
      <c r="M30551" t="s">
        <v>207</v>
      </c>
    </row>
    <row r="30552" spans="13:13" x14ac:dyDescent="0.25">
      <c r="M30552" t="s">
        <v>208</v>
      </c>
    </row>
    <row r="30553" spans="13:13" x14ac:dyDescent="0.25">
      <c r="M30553" t="s">
        <v>209</v>
      </c>
    </row>
    <row r="30554" spans="13:13" x14ac:dyDescent="0.25">
      <c r="M30554" t="s">
        <v>210</v>
      </c>
    </row>
    <row r="30574" spans="13:13" x14ac:dyDescent="0.25">
      <c r="M30574" t="s">
        <v>211</v>
      </c>
    </row>
    <row r="30575" spans="13:13" x14ac:dyDescent="0.25">
      <c r="M30575" t="s">
        <v>212</v>
      </c>
    </row>
    <row r="30576" spans="13:13" x14ac:dyDescent="0.25">
      <c r="M30576" t="s">
        <v>213</v>
      </c>
    </row>
    <row r="30577" spans="13:13" x14ac:dyDescent="0.25">
      <c r="M30577" t="s">
        <v>214</v>
      </c>
    </row>
    <row r="30578" spans="13:13" x14ac:dyDescent="0.25">
      <c r="M30578" t="s">
        <v>215</v>
      </c>
    </row>
    <row r="30579" spans="13:13" x14ac:dyDescent="0.25">
      <c r="M30579" t="s">
        <v>216</v>
      </c>
    </row>
    <row r="30580" spans="13:13" x14ac:dyDescent="0.25">
      <c r="M30580" t="s">
        <v>217</v>
      </c>
    </row>
    <row r="30581" spans="13:13" x14ac:dyDescent="0.25">
      <c r="M30581" t="s">
        <v>218</v>
      </c>
    </row>
    <row r="30582" spans="13:13" x14ac:dyDescent="0.25">
      <c r="M30582" t="s">
        <v>219</v>
      </c>
    </row>
    <row r="30583" spans="13:13" x14ac:dyDescent="0.25">
      <c r="M30583" t="s">
        <v>220</v>
      </c>
    </row>
    <row r="30587" spans="13:13" x14ac:dyDescent="0.25">
      <c r="M30587" t="s">
        <v>221</v>
      </c>
    </row>
    <row r="30588" spans="13:13" x14ac:dyDescent="0.25">
      <c r="M30588" t="s">
        <v>222</v>
      </c>
    </row>
    <row r="30589" spans="13:13" x14ac:dyDescent="0.25">
      <c r="M30589" t="s">
        <v>223</v>
      </c>
    </row>
    <row r="30590" spans="13:13" x14ac:dyDescent="0.25">
      <c r="M30590" t="s">
        <v>224</v>
      </c>
    </row>
    <row r="30591" spans="13:13" x14ac:dyDescent="0.25">
      <c r="M30591" t="s">
        <v>225</v>
      </c>
    </row>
    <row r="30592" spans="13:13" x14ac:dyDescent="0.25">
      <c r="M30592" t="s">
        <v>226</v>
      </c>
    </row>
    <row r="30593" spans="13:13" x14ac:dyDescent="0.25">
      <c r="M30593" t="s">
        <v>227</v>
      </c>
    </row>
    <row r="30594" spans="13:13" x14ac:dyDescent="0.25">
      <c r="M30594" t="s">
        <v>228</v>
      </c>
    </row>
    <row r="30595" spans="13:13" x14ac:dyDescent="0.25">
      <c r="M30595" t="s">
        <v>229</v>
      </c>
    </row>
    <row r="30596" spans="13:13" x14ac:dyDescent="0.25">
      <c r="M30596" t="s">
        <v>230</v>
      </c>
    </row>
    <row r="30597" spans="13:13" x14ac:dyDescent="0.25">
      <c r="M30597" t="s">
        <v>231</v>
      </c>
    </row>
    <row r="30598" spans="13:13" x14ac:dyDescent="0.25">
      <c r="M30598" t="s">
        <v>232</v>
      </c>
    </row>
    <row r="30599" spans="13:13" x14ac:dyDescent="0.25">
      <c r="M30599" t="s">
        <v>233</v>
      </c>
    </row>
    <row r="30600" spans="13:13" x14ac:dyDescent="0.25">
      <c r="M30600" t="s">
        <v>234</v>
      </c>
    </row>
    <row r="30601" spans="13:13" x14ac:dyDescent="0.25">
      <c r="M30601" t="s">
        <v>235</v>
      </c>
    </row>
    <row r="30602" spans="13:13" x14ac:dyDescent="0.25">
      <c r="M30602" t="s">
        <v>236</v>
      </c>
    </row>
    <row r="30603" spans="13:13" x14ac:dyDescent="0.25">
      <c r="M30603" t="s">
        <v>237</v>
      </c>
    </row>
    <row r="30604" spans="13:13" x14ac:dyDescent="0.25">
      <c r="M30604" t="s">
        <v>238</v>
      </c>
    </row>
    <row r="30605" spans="13:13" x14ac:dyDescent="0.25">
      <c r="M30605" t="s">
        <v>239</v>
      </c>
    </row>
    <row r="30606" spans="13:13" x14ac:dyDescent="0.25">
      <c r="M30606" t="s">
        <v>240</v>
      </c>
    </row>
    <row r="30607" spans="13:13" x14ac:dyDescent="0.25">
      <c r="M30607" t="s">
        <v>241</v>
      </c>
    </row>
    <row r="30608" spans="13:13" x14ac:dyDescent="0.25">
      <c r="M30608" t="s">
        <v>242</v>
      </c>
    </row>
    <row r="30609" spans="13:13" x14ac:dyDescent="0.25">
      <c r="M30609" t="s">
        <v>243</v>
      </c>
    </row>
    <row r="30610" spans="13:13" x14ac:dyDescent="0.25">
      <c r="M30610" t="s">
        <v>244</v>
      </c>
    </row>
    <row r="30611" spans="13:13" x14ac:dyDescent="0.25">
      <c r="M30611" t="s">
        <v>245</v>
      </c>
    </row>
    <row r="30612" spans="13:13" x14ac:dyDescent="0.25">
      <c r="M30612" t="s">
        <v>246</v>
      </c>
    </row>
    <row r="30613" spans="13:13" x14ac:dyDescent="0.25">
      <c r="M30613" t="s">
        <v>247</v>
      </c>
    </row>
    <row r="30614" spans="13:13" x14ac:dyDescent="0.25">
      <c r="M30614" t="s">
        <v>248</v>
      </c>
    </row>
    <row r="30615" spans="13:13" x14ac:dyDescent="0.25">
      <c r="M30615" t="s">
        <v>249</v>
      </c>
    </row>
    <row r="30616" spans="13:13" x14ac:dyDescent="0.25">
      <c r="M30616" t="s">
        <v>250</v>
      </c>
    </row>
    <row r="30617" spans="13:13" x14ac:dyDescent="0.25">
      <c r="M30617" t="s">
        <v>251</v>
      </c>
    </row>
    <row r="30618" spans="13:13" x14ac:dyDescent="0.25">
      <c r="M30618" t="s">
        <v>252</v>
      </c>
    </row>
    <row r="30619" spans="13:13" x14ac:dyDescent="0.25">
      <c r="M30619" t="s">
        <v>253</v>
      </c>
    </row>
    <row r="30629" spans="13:13" x14ac:dyDescent="0.25">
      <c r="M30629" t="s">
        <v>254</v>
      </c>
    </row>
    <row r="30630" spans="13:13" x14ac:dyDescent="0.25">
      <c r="M30630" t="s">
        <v>83</v>
      </c>
    </row>
    <row r="30644" spans="13:13" x14ac:dyDescent="0.25">
      <c r="M30644" t="s">
        <v>255</v>
      </c>
    </row>
    <row r="30645" spans="13:13" x14ac:dyDescent="0.25">
      <c r="M30645" t="s">
        <v>256</v>
      </c>
    </row>
    <row r="30646" spans="13:13" x14ac:dyDescent="0.25">
      <c r="M30646" t="s">
        <v>257</v>
      </c>
    </row>
    <row r="30647" spans="13:13" x14ac:dyDescent="0.25">
      <c r="M30647" t="s">
        <v>258</v>
      </c>
    </row>
    <row r="30648" spans="13:13" x14ac:dyDescent="0.25">
      <c r="M30648" t="s">
        <v>259</v>
      </c>
    </row>
    <row r="30649" spans="13:13" x14ac:dyDescent="0.25">
      <c r="M30649" t="s">
        <v>260</v>
      </c>
    </row>
    <row r="30650" spans="13:13" x14ac:dyDescent="0.25">
      <c r="M30650" t="s">
        <v>261</v>
      </c>
    </row>
    <row r="30651" spans="13:13" x14ac:dyDescent="0.25">
      <c r="M30651" t="s">
        <v>262</v>
      </c>
    </row>
    <row r="30652" spans="13:13" x14ac:dyDescent="0.25">
      <c r="M30652" t="s">
        <v>263</v>
      </c>
    </row>
    <row r="30703" spans="13:13" x14ac:dyDescent="0.25">
      <c r="M30703" t="s">
        <v>264</v>
      </c>
    </row>
    <row r="30704" spans="13:13" x14ac:dyDescent="0.25">
      <c r="M30704" t="s">
        <v>265</v>
      </c>
    </row>
    <row r="30705" spans="13:13" x14ac:dyDescent="0.25">
      <c r="M30705" t="s">
        <v>266</v>
      </c>
    </row>
    <row r="30754" spans="13:13" x14ac:dyDescent="0.25">
      <c r="M30754" t="s">
        <v>267</v>
      </c>
    </row>
    <row r="30755" spans="13:13" x14ac:dyDescent="0.25">
      <c r="M30755" t="s">
        <v>268</v>
      </c>
    </row>
    <row r="30756" spans="13:13" x14ac:dyDescent="0.25">
      <c r="M30756" t="s">
        <v>269</v>
      </c>
    </row>
    <row r="30757" spans="13:13" x14ac:dyDescent="0.25">
      <c r="M30757" t="s">
        <v>270</v>
      </c>
    </row>
    <row r="30758" spans="13:13" x14ac:dyDescent="0.25">
      <c r="M30758" t="s">
        <v>271</v>
      </c>
    </row>
    <row r="30759" spans="13:13" x14ac:dyDescent="0.25">
      <c r="M30759" t="s">
        <v>272</v>
      </c>
    </row>
    <row r="30780" spans="13:13" x14ac:dyDescent="0.25">
      <c r="M30780" t="s">
        <v>273</v>
      </c>
    </row>
    <row r="30781" spans="13:13" x14ac:dyDescent="0.25">
      <c r="M30781" t="s">
        <v>274</v>
      </c>
    </row>
    <row r="30784" spans="13:13" x14ac:dyDescent="0.25">
      <c r="M30784" t="s">
        <v>275</v>
      </c>
    </row>
    <row r="30785" spans="13:13" x14ac:dyDescent="0.25">
      <c r="M30785" t="s">
        <v>276</v>
      </c>
    </row>
    <row r="30786" spans="13:13" x14ac:dyDescent="0.25">
      <c r="M30786" t="s">
        <v>277</v>
      </c>
    </row>
    <row r="30791" spans="13:13" x14ac:dyDescent="0.25">
      <c r="M30791" t="s">
        <v>278</v>
      </c>
    </row>
    <row r="30792" spans="13:13" x14ac:dyDescent="0.25">
      <c r="M30792" t="s">
        <v>279</v>
      </c>
    </row>
    <row r="30808" spans="13:13" x14ac:dyDescent="0.25">
      <c r="M30808" t="s">
        <v>203</v>
      </c>
    </row>
    <row r="30809" spans="13:13" x14ac:dyDescent="0.25">
      <c r="M30809" t="s">
        <v>204</v>
      </c>
    </row>
    <row r="30810" spans="13:13" x14ac:dyDescent="0.25">
      <c r="M30810" t="s">
        <v>205</v>
      </c>
    </row>
    <row r="30811" spans="13:13" x14ac:dyDescent="0.25">
      <c r="M30811" t="s">
        <v>206</v>
      </c>
    </row>
    <row r="30812" spans="13:13" x14ac:dyDescent="0.25">
      <c r="M30812" t="s">
        <v>207</v>
      </c>
    </row>
    <row r="30813" spans="13:13" x14ac:dyDescent="0.25">
      <c r="M30813" t="s">
        <v>208</v>
      </c>
    </row>
    <row r="30814" spans="13:13" x14ac:dyDescent="0.25">
      <c r="M30814" t="s">
        <v>209</v>
      </c>
    </row>
    <row r="30815" spans="13:13" x14ac:dyDescent="0.25">
      <c r="M30815" t="s">
        <v>210</v>
      </c>
    </row>
    <row r="30835" spans="13:13" x14ac:dyDescent="0.25">
      <c r="M30835" t="s">
        <v>211</v>
      </c>
    </row>
    <row r="30836" spans="13:13" x14ac:dyDescent="0.25">
      <c r="M30836" t="s">
        <v>212</v>
      </c>
    </row>
    <row r="30837" spans="13:13" x14ac:dyDescent="0.25">
      <c r="M30837" t="s">
        <v>213</v>
      </c>
    </row>
    <row r="30838" spans="13:13" x14ac:dyDescent="0.25">
      <c r="M30838" t="s">
        <v>214</v>
      </c>
    </row>
    <row r="30839" spans="13:13" x14ac:dyDescent="0.25">
      <c r="M30839" t="s">
        <v>215</v>
      </c>
    </row>
    <row r="30840" spans="13:13" x14ac:dyDescent="0.25">
      <c r="M30840" t="s">
        <v>216</v>
      </c>
    </row>
    <row r="30841" spans="13:13" x14ac:dyDescent="0.25">
      <c r="M30841" t="s">
        <v>217</v>
      </c>
    </row>
    <row r="30842" spans="13:13" x14ac:dyDescent="0.25">
      <c r="M30842" t="s">
        <v>218</v>
      </c>
    </row>
    <row r="30843" spans="13:13" x14ac:dyDescent="0.25">
      <c r="M30843" t="s">
        <v>219</v>
      </c>
    </row>
    <row r="30844" spans="13:13" x14ac:dyDescent="0.25">
      <c r="M30844" t="s">
        <v>220</v>
      </c>
    </row>
    <row r="30848" spans="13:13" x14ac:dyDescent="0.25">
      <c r="M30848" t="s">
        <v>221</v>
      </c>
    </row>
    <row r="30849" spans="13:13" x14ac:dyDescent="0.25">
      <c r="M30849" t="s">
        <v>222</v>
      </c>
    </row>
    <row r="30850" spans="13:13" x14ac:dyDescent="0.25">
      <c r="M30850" t="s">
        <v>223</v>
      </c>
    </row>
    <row r="30851" spans="13:13" x14ac:dyDescent="0.25">
      <c r="M30851" t="s">
        <v>224</v>
      </c>
    </row>
    <row r="30852" spans="13:13" x14ac:dyDescent="0.25">
      <c r="M30852" t="s">
        <v>225</v>
      </c>
    </row>
    <row r="30853" spans="13:13" x14ac:dyDescent="0.25">
      <c r="M30853" t="s">
        <v>226</v>
      </c>
    </row>
    <row r="30854" spans="13:13" x14ac:dyDescent="0.25">
      <c r="M30854" t="s">
        <v>227</v>
      </c>
    </row>
    <row r="30855" spans="13:13" x14ac:dyDescent="0.25">
      <c r="M30855" t="s">
        <v>228</v>
      </c>
    </row>
    <row r="30856" spans="13:13" x14ac:dyDescent="0.25">
      <c r="M30856" t="s">
        <v>229</v>
      </c>
    </row>
    <row r="30857" spans="13:13" x14ac:dyDescent="0.25">
      <c r="M30857" t="s">
        <v>230</v>
      </c>
    </row>
    <row r="30858" spans="13:13" x14ac:dyDescent="0.25">
      <c r="M30858" t="s">
        <v>231</v>
      </c>
    </row>
    <row r="30859" spans="13:13" x14ac:dyDescent="0.25">
      <c r="M30859" t="s">
        <v>232</v>
      </c>
    </row>
    <row r="30860" spans="13:13" x14ac:dyDescent="0.25">
      <c r="M30860" t="s">
        <v>233</v>
      </c>
    </row>
    <row r="30861" spans="13:13" x14ac:dyDescent="0.25">
      <c r="M30861" t="s">
        <v>234</v>
      </c>
    </row>
    <row r="30862" spans="13:13" x14ac:dyDescent="0.25">
      <c r="M30862" t="s">
        <v>235</v>
      </c>
    </row>
    <row r="30863" spans="13:13" x14ac:dyDescent="0.25">
      <c r="M30863" t="s">
        <v>236</v>
      </c>
    </row>
    <row r="30864" spans="13:13" x14ac:dyDescent="0.25">
      <c r="M30864" t="s">
        <v>237</v>
      </c>
    </row>
    <row r="30865" spans="13:13" x14ac:dyDescent="0.25">
      <c r="M30865" t="s">
        <v>238</v>
      </c>
    </row>
    <row r="30866" spans="13:13" x14ac:dyDescent="0.25">
      <c r="M30866" t="s">
        <v>239</v>
      </c>
    </row>
    <row r="30867" spans="13:13" x14ac:dyDescent="0.25">
      <c r="M30867" t="s">
        <v>240</v>
      </c>
    </row>
    <row r="30868" spans="13:13" x14ac:dyDescent="0.25">
      <c r="M30868" t="s">
        <v>241</v>
      </c>
    </row>
    <row r="30869" spans="13:13" x14ac:dyDescent="0.25">
      <c r="M30869" t="s">
        <v>242</v>
      </c>
    </row>
    <row r="30870" spans="13:13" x14ac:dyDescent="0.25">
      <c r="M30870" t="s">
        <v>243</v>
      </c>
    </row>
    <row r="30871" spans="13:13" x14ac:dyDescent="0.25">
      <c r="M30871" t="s">
        <v>244</v>
      </c>
    </row>
    <row r="30872" spans="13:13" x14ac:dyDescent="0.25">
      <c r="M30872" t="s">
        <v>245</v>
      </c>
    </row>
    <row r="30873" spans="13:13" x14ac:dyDescent="0.25">
      <c r="M30873" t="s">
        <v>246</v>
      </c>
    </row>
    <row r="30874" spans="13:13" x14ac:dyDescent="0.25">
      <c r="M30874" t="s">
        <v>247</v>
      </c>
    </row>
    <row r="30875" spans="13:13" x14ac:dyDescent="0.25">
      <c r="M30875" t="s">
        <v>248</v>
      </c>
    </row>
    <row r="30876" spans="13:13" x14ac:dyDescent="0.25">
      <c r="M30876" t="s">
        <v>249</v>
      </c>
    </row>
    <row r="30877" spans="13:13" x14ac:dyDescent="0.25">
      <c r="M30877" t="s">
        <v>250</v>
      </c>
    </row>
    <row r="30878" spans="13:13" x14ac:dyDescent="0.25">
      <c r="M30878" t="s">
        <v>251</v>
      </c>
    </row>
    <row r="30879" spans="13:13" x14ac:dyDescent="0.25">
      <c r="M30879" t="s">
        <v>252</v>
      </c>
    </row>
    <row r="30880" spans="13:13" x14ac:dyDescent="0.25">
      <c r="M30880" t="s">
        <v>253</v>
      </c>
    </row>
    <row r="30890" spans="13:13" x14ac:dyDescent="0.25">
      <c r="M30890" t="s">
        <v>254</v>
      </c>
    </row>
    <row r="30891" spans="13:13" x14ac:dyDescent="0.25">
      <c r="M30891" t="s">
        <v>83</v>
      </c>
    </row>
    <row r="30905" spans="13:13" x14ac:dyDescent="0.25">
      <c r="M30905" t="s">
        <v>255</v>
      </c>
    </row>
    <row r="30906" spans="13:13" x14ac:dyDescent="0.25">
      <c r="M30906" t="s">
        <v>256</v>
      </c>
    </row>
    <row r="30907" spans="13:13" x14ac:dyDescent="0.25">
      <c r="M30907" t="s">
        <v>257</v>
      </c>
    </row>
    <row r="30908" spans="13:13" x14ac:dyDescent="0.25">
      <c r="M30908" t="s">
        <v>258</v>
      </c>
    </row>
    <row r="30909" spans="13:13" x14ac:dyDescent="0.25">
      <c r="M30909" t="s">
        <v>259</v>
      </c>
    </row>
    <row r="30910" spans="13:13" x14ac:dyDescent="0.25">
      <c r="M30910" t="s">
        <v>260</v>
      </c>
    </row>
    <row r="30911" spans="13:13" x14ac:dyDescent="0.25">
      <c r="M30911" t="s">
        <v>261</v>
      </c>
    </row>
    <row r="30912" spans="13:13" x14ac:dyDescent="0.25">
      <c r="M30912" t="s">
        <v>262</v>
      </c>
    </row>
    <row r="30913" spans="13:13" x14ac:dyDescent="0.25">
      <c r="M30913" t="s">
        <v>263</v>
      </c>
    </row>
    <row r="30964" spans="13:13" x14ac:dyDescent="0.25">
      <c r="M30964" t="s">
        <v>264</v>
      </c>
    </row>
    <row r="30965" spans="13:13" x14ac:dyDescent="0.25">
      <c r="M30965" t="s">
        <v>265</v>
      </c>
    </row>
    <row r="30966" spans="13:13" x14ac:dyDescent="0.25">
      <c r="M30966" t="s">
        <v>266</v>
      </c>
    </row>
    <row r="31015" spans="13:13" x14ac:dyDescent="0.25">
      <c r="M31015" t="s">
        <v>267</v>
      </c>
    </row>
    <row r="31016" spans="13:13" x14ac:dyDescent="0.25">
      <c r="M31016" t="s">
        <v>268</v>
      </c>
    </row>
    <row r="31017" spans="13:13" x14ac:dyDescent="0.25">
      <c r="M31017" t="s">
        <v>269</v>
      </c>
    </row>
    <row r="31018" spans="13:13" x14ac:dyDescent="0.25">
      <c r="M31018" t="s">
        <v>270</v>
      </c>
    </row>
    <row r="31019" spans="13:13" x14ac:dyDescent="0.25">
      <c r="M31019" t="s">
        <v>271</v>
      </c>
    </row>
    <row r="31020" spans="13:13" x14ac:dyDescent="0.25">
      <c r="M31020" t="s">
        <v>272</v>
      </c>
    </row>
    <row r="31041" spans="13:13" x14ac:dyDescent="0.25">
      <c r="M31041" t="s">
        <v>273</v>
      </c>
    </row>
    <row r="31042" spans="13:13" x14ac:dyDescent="0.25">
      <c r="M31042" t="s">
        <v>274</v>
      </c>
    </row>
    <row r="31045" spans="13:13" x14ac:dyDescent="0.25">
      <c r="M31045" t="s">
        <v>275</v>
      </c>
    </row>
    <row r="31046" spans="13:13" x14ac:dyDescent="0.25">
      <c r="M31046" t="s">
        <v>276</v>
      </c>
    </row>
    <row r="31047" spans="13:13" x14ac:dyDescent="0.25">
      <c r="M31047" t="s">
        <v>277</v>
      </c>
    </row>
    <row r="31052" spans="13:13" x14ac:dyDescent="0.25">
      <c r="M31052" t="s">
        <v>278</v>
      </c>
    </row>
    <row r="31053" spans="13:13" x14ac:dyDescent="0.25">
      <c r="M31053" t="s">
        <v>279</v>
      </c>
    </row>
    <row r="31069" spans="13:13" x14ac:dyDescent="0.25">
      <c r="M31069" t="s">
        <v>203</v>
      </c>
    </row>
    <row r="31070" spans="13:13" x14ac:dyDescent="0.25">
      <c r="M31070" t="s">
        <v>204</v>
      </c>
    </row>
    <row r="31071" spans="13:13" x14ac:dyDescent="0.25">
      <c r="M31071" t="s">
        <v>205</v>
      </c>
    </row>
    <row r="31072" spans="13:13" x14ac:dyDescent="0.25">
      <c r="M31072" t="s">
        <v>206</v>
      </c>
    </row>
    <row r="31073" spans="13:13" x14ac:dyDescent="0.25">
      <c r="M31073" t="s">
        <v>207</v>
      </c>
    </row>
    <row r="31074" spans="13:13" x14ac:dyDescent="0.25">
      <c r="M31074" t="s">
        <v>208</v>
      </c>
    </row>
    <row r="31075" spans="13:13" x14ac:dyDescent="0.25">
      <c r="M31075" t="s">
        <v>209</v>
      </c>
    </row>
    <row r="31076" spans="13:13" x14ac:dyDescent="0.25">
      <c r="M31076" t="s">
        <v>210</v>
      </c>
    </row>
    <row r="31096" spans="13:13" x14ac:dyDescent="0.25">
      <c r="M31096" t="s">
        <v>211</v>
      </c>
    </row>
    <row r="31097" spans="13:13" x14ac:dyDescent="0.25">
      <c r="M31097" t="s">
        <v>212</v>
      </c>
    </row>
    <row r="31098" spans="13:13" x14ac:dyDescent="0.25">
      <c r="M31098" t="s">
        <v>213</v>
      </c>
    </row>
    <row r="31099" spans="13:13" x14ac:dyDescent="0.25">
      <c r="M31099" t="s">
        <v>214</v>
      </c>
    </row>
    <row r="31100" spans="13:13" x14ac:dyDescent="0.25">
      <c r="M31100" t="s">
        <v>215</v>
      </c>
    </row>
    <row r="31101" spans="13:13" x14ac:dyDescent="0.25">
      <c r="M31101" t="s">
        <v>216</v>
      </c>
    </row>
    <row r="31102" spans="13:13" x14ac:dyDescent="0.25">
      <c r="M31102" t="s">
        <v>217</v>
      </c>
    </row>
    <row r="31103" spans="13:13" x14ac:dyDescent="0.25">
      <c r="M31103" t="s">
        <v>218</v>
      </c>
    </row>
    <row r="31104" spans="13:13" x14ac:dyDescent="0.25">
      <c r="M31104" t="s">
        <v>219</v>
      </c>
    </row>
    <row r="31105" spans="13:13" x14ac:dyDescent="0.25">
      <c r="M31105" t="s">
        <v>220</v>
      </c>
    </row>
    <row r="31109" spans="13:13" x14ac:dyDescent="0.25">
      <c r="M31109" t="s">
        <v>221</v>
      </c>
    </row>
    <row r="31110" spans="13:13" x14ac:dyDescent="0.25">
      <c r="M31110" t="s">
        <v>222</v>
      </c>
    </row>
    <row r="31111" spans="13:13" x14ac:dyDescent="0.25">
      <c r="M31111" t="s">
        <v>223</v>
      </c>
    </row>
    <row r="31112" spans="13:13" x14ac:dyDescent="0.25">
      <c r="M31112" t="s">
        <v>224</v>
      </c>
    </row>
    <row r="31113" spans="13:13" x14ac:dyDescent="0.25">
      <c r="M31113" t="s">
        <v>225</v>
      </c>
    </row>
    <row r="31114" spans="13:13" x14ac:dyDescent="0.25">
      <c r="M31114" t="s">
        <v>226</v>
      </c>
    </row>
    <row r="31115" spans="13:13" x14ac:dyDescent="0.25">
      <c r="M31115" t="s">
        <v>227</v>
      </c>
    </row>
    <row r="31116" spans="13:13" x14ac:dyDescent="0.25">
      <c r="M31116" t="s">
        <v>228</v>
      </c>
    </row>
    <row r="31117" spans="13:13" x14ac:dyDescent="0.25">
      <c r="M31117" t="s">
        <v>229</v>
      </c>
    </row>
    <row r="31118" spans="13:13" x14ac:dyDescent="0.25">
      <c r="M31118" t="s">
        <v>230</v>
      </c>
    </row>
    <row r="31119" spans="13:13" x14ac:dyDescent="0.25">
      <c r="M31119" t="s">
        <v>231</v>
      </c>
    </row>
    <row r="31120" spans="13:13" x14ac:dyDescent="0.25">
      <c r="M31120" t="s">
        <v>232</v>
      </c>
    </row>
    <row r="31121" spans="13:13" x14ac:dyDescent="0.25">
      <c r="M31121" t="s">
        <v>233</v>
      </c>
    </row>
    <row r="31122" spans="13:13" x14ac:dyDescent="0.25">
      <c r="M31122" t="s">
        <v>234</v>
      </c>
    </row>
    <row r="31123" spans="13:13" x14ac:dyDescent="0.25">
      <c r="M31123" t="s">
        <v>235</v>
      </c>
    </row>
    <row r="31124" spans="13:13" x14ac:dyDescent="0.25">
      <c r="M31124" t="s">
        <v>236</v>
      </c>
    </row>
    <row r="31125" spans="13:13" x14ac:dyDescent="0.25">
      <c r="M31125" t="s">
        <v>237</v>
      </c>
    </row>
    <row r="31126" spans="13:13" x14ac:dyDescent="0.25">
      <c r="M31126" t="s">
        <v>238</v>
      </c>
    </row>
    <row r="31127" spans="13:13" x14ac:dyDescent="0.25">
      <c r="M31127" t="s">
        <v>239</v>
      </c>
    </row>
    <row r="31128" spans="13:13" x14ac:dyDescent="0.25">
      <c r="M31128" t="s">
        <v>240</v>
      </c>
    </row>
    <row r="31129" spans="13:13" x14ac:dyDescent="0.25">
      <c r="M31129" t="s">
        <v>241</v>
      </c>
    </row>
    <row r="31130" spans="13:13" x14ac:dyDescent="0.25">
      <c r="M31130" t="s">
        <v>242</v>
      </c>
    </row>
    <row r="31131" spans="13:13" x14ac:dyDescent="0.25">
      <c r="M31131" t="s">
        <v>243</v>
      </c>
    </row>
    <row r="31132" spans="13:13" x14ac:dyDescent="0.25">
      <c r="M31132" t="s">
        <v>244</v>
      </c>
    </row>
    <row r="31133" spans="13:13" x14ac:dyDescent="0.25">
      <c r="M31133" t="s">
        <v>245</v>
      </c>
    </row>
    <row r="31134" spans="13:13" x14ac:dyDescent="0.25">
      <c r="M31134" t="s">
        <v>246</v>
      </c>
    </row>
    <row r="31135" spans="13:13" x14ac:dyDescent="0.25">
      <c r="M31135" t="s">
        <v>247</v>
      </c>
    </row>
    <row r="31136" spans="13:13" x14ac:dyDescent="0.25">
      <c r="M31136" t="s">
        <v>248</v>
      </c>
    </row>
    <row r="31137" spans="13:13" x14ac:dyDescent="0.25">
      <c r="M31137" t="s">
        <v>249</v>
      </c>
    </row>
    <row r="31138" spans="13:13" x14ac:dyDescent="0.25">
      <c r="M31138" t="s">
        <v>250</v>
      </c>
    </row>
    <row r="31139" spans="13:13" x14ac:dyDescent="0.25">
      <c r="M31139" t="s">
        <v>251</v>
      </c>
    </row>
    <row r="31140" spans="13:13" x14ac:dyDescent="0.25">
      <c r="M31140" t="s">
        <v>252</v>
      </c>
    </row>
    <row r="31141" spans="13:13" x14ac:dyDescent="0.25">
      <c r="M31141" t="s">
        <v>253</v>
      </c>
    </row>
    <row r="31151" spans="13:13" x14ac:dyDescent="0.25">
      <c r="M31151" t="s">
        <v>254</v>
      </c>
    </row>
    <row r="31152" spans="13:13" x14ac:dyDescent="0.25">
      <c r="M31152" t="s">
        <v>83</v>
      </c>
    </row>
    <row r="31166" spans="13:13" x14ac:dyDescent="0.25">
      <c r="M31166" t="s">
        <v>255</v>
      </c>
    </row>
    <row r="31167" spans="13:13" x14ac:dyDescent="0.25">
      <c r="M31167" t="s">
        <v>256</v>
      </c>
    </row>
    <row r="31168" spans="13:13" x14ac:dyDescent="0.25">
      <c r="M31168" t="s">
        <v>257</v>
      </c>
    </row>
    <row r="31169" spans="13:13" x14ac:dyDescent="0.25">
      <c r="M31169" t="s">
        <v>258</v>
      </c>
    </row>
    <row r="31170" spans="13:13" x14ac:dyDescent="0.25">
      <c r="M31170" t="s">
        <v>259</v>
      </c>
    </row>
    <row r="31171" spans="13:13" x14ac:dyDescent="0.25">
      <c r="M31171" t="s">
        <v>260</v>
      </c>
    </row>
    <row r="31172" spans="13:13" x14ac:dyDescent="0.25">
      <c r="M31172" t="s">
        <v>261</v>
      </c>
    </row>
    <row r="31173" spans="13:13" x14ac:dyDescent="0.25">
      <c r="M31173" t="s">
        <v>262</v>
      </c>
    </row>
    <row r="31174" spans="13:13" x14ac:dyDescent="0.25">
      <c r="M31174" t="s">
        <v>263</v>
      </c>
    </row>
    <row r="31225" spans="13:13" x14ac:dyDescent="0.25">
      <c r="M31225" t="s">
        <v>264</v>
      </c>
    </row>
    <row r="31226" spans="13:13" x14ac:dyDescent="0.25">
      <c r="M31226" t="s">
        <v>265</v>
      </c>
    </row>
    <row r="31227" spans="13:13" x14ac:dyDescent="0.25">
      <c r="M31227" t="s">
        <v>266</v>
      </c>
    </row>
    <row r="31276" spans="13:13" x14ac:dyDescent="0.25">
      <c r="M31276" t="s">
        <v>267</v>
      </c>
    </row>
    <row r="31277" spans="13:13" x14ac:dyDescent="0.25">
      <c r="M31277" t="s">
        <v>268</v>
      </c>
    </row>
    <row r="31278" spans="13:13" x14ac:dyDescent="0.25">
      <c r="M31278" t="s">
        <v>269</v>
      </c>
    </row>
    <row r="31279" spans="13:13" x14ac:dyDescent="0.25">
      <c r="M31279" t="s">
        <v>270</v>
      </c>
    </row>
    <row r="31280" spans="13:13" x14ac:dyDescent="0.25">
      <c r="M31280" t="s">
        <v>271</v>
      </c>
    </row>
    <row r="31281" spans="13:13" x14ac:dyDescent="0.25">
      <c r="M31281" t="s">
        <v>272</v>
      </c>
    </row>
    <row r="31302" spans="13:13" x14ac:dyDescent="0.25">
      <c r="M31302" t="s">
        <v>273</v>
      </c>
    </row>
    <row r="31303" spans="13:13" x14ac:dyDescent="0.25">
      <c r="M31303" t="s">
        <v>274</v>
      </c>
    </row>
    <row r="31306" spans="13:13" x14ac:dyDescent="0.25">
      <c r="M31306" t="s">
        <v>275</v>
      </c>
    </row>
    <row r="31307" spans="13:13" x14ac:dyDescent="0.25">
      <c r="M31307" t="s">
        <v>276</v>
      </c>
    </row>
    <row r="31308" spans="13:13" x14ac:dyDescent="0.25">
      <c r="M31308" t="s">
        <v>277</v>
      </c>
    </row>
    <row r="31313" spans="13:13" x14ac:dyDescent="0.25">
      <c r="M31313" t="s">
        <v>278</v>
      </c>
    </row>
    <row r="31314" spans="13:13" x14ac:dyDescent="0.25">
      <c r="M31314" t="s">
        <v>279</v>
      </c>
    </row>
    <row r="31330" spans="13:13" x14ac:dyDescent="0.25">
      <c r="M31330" t="s">
        <v>203</v>
      </c>
    </row>
    <row r="31331" spans="13:13" x14ac:dyDescent="0.25">
      <c r="M31331" t="s">
        <v>204</v>
      </c>
    </row>
    <row r="31332" spans="13:13" x14ac:dyDescent="0.25">
      <c r="M31332" t="s">
        <v>205</v>
      </c>
    </row>
    <row r="31333" spans="13:13" x14ac:dyDescent="0.25">
      <c r="M31333" t="s">
        <v>206</v>
      </c>
    </row>
    <row r="31334" spans="13:13" x14ac:dyDescent="0.25">
      <c r="M31334" t="s">
        <v>207</v>
      </c>
    </row>
    <row r="31335" spans="13:13" x14ac:dyDescent="0.25">
      <c r="M31335" t="s">
        <v>208</v>
      </c>
    </row>
    <row r="31336" spans="13:13" x14ac:dyDescent="0.25">
      <c r="M31336" t="s">
        <v>209</v>
      </c>
    </row>
    <row r="31337" spans="13:13" x14ac:dyDescent="0.25">
      <c r="M31337" t="s">
        <v>210</v>
      </c>
    </row>
    <row r="31357" spans="13:13" x14ac:dyDescent="0.25">
      <c r="M31357" t="s">
        <v>211</v>
      </c>
    </row>
    <row r="31358" spans="13:13" x14ac:dyDescent="0.25">
      <c r="M31358" t="s">
        <v>212</v>
      </c>
    </row>
    <row r="31359" spans="13:13" x14ac:dyDescent="0.25">
      <c r="M31359" t="s">
        <v>213</v>
      </c>
    </row>
    <row r="31360" spans="13:13" x14ac:dyDescent="0.25">
      <c r="M31360" t="s">
        <v>214</v>
      </c>
    </row>
    <row r="31361" spans="13:13" x14ac:dyDescent="0.25">
      <c r="M31361" t="s">
        <v>215</v>
      </c>
    </row>
    <row r="31362" spans="13:13" x14ac:dyDescent="0.25">
      <c r="M31362" t="s">
        <v>216</v>
      </c>
    </row>
    <row r="31363" spans="13:13" x14ac:dyDescent="0.25">
      <c r="M31363" t="s">
        <v>217</v>
      </c>
    </row>
    <row r="31364" spans="13:13" x14ac:dyDescent="0.25">
      <c r="M31364" t="s">
        <v>218</v>
      </c>
    </row>
    <row r="31365" spans="13:13" x14ac:dyDescent="0.25">
      <c r="M31365" t="s">
        <v>219</v>
      </c>
    </row>
    <row r="31366" spans="13:13" x14ac:dyDescent="0.25">
      <c r="M31366" t="s">
        <v>220</v>
      </c>
    </row>
    <row r="31370" spans="13:13" x14ac:dyDescent="0.25">
      <c r="M31370" t="s">
        <v>221</v>
      </c>
    </row>
    <row r="31371" spans="13:13" x14ac:dyDescent="0.25">
      <c r="M31371" t="s">
        <v>222</v>
      </c>
    </row>
    <row r="31372" spans="13:13" x14ac:dyDescent="0.25">
      <c r="M31372" t="s">
        <v>223</v>
      </c>
    </row>
    <row r="31373" spans="13:13" x14ac:dyDescent="0.25">
      <c r="M31373" t="s">
        <v>224</v>
      </c>
    </row>
    <row r="31374" spans="13:13" x14ac:dyDescent="0.25">
      <c r="M31374" t="s">
        <v>225</v>
      </c>
    </row>
    <row r="31375" spans="13:13" x14ac:dyDescent="0.25">
      <c r="M31375" t="s">
        <v>226</v>
      </c>
    </row>
    <row r="31376" spans="13:13" x14ac:dyDescent="0.25">
      <c r="M31376" t="s">
        <v>227</v>
      </c>
    </row>
    <row r="31377" spans="13:13" x14ac:dyDescent="0.25">
      <c r="M31377" t="s">
        <v>228</v>
      </c>
    </row>
    <row r="31378" spans="13:13" x14ac:dyDescent="0.25">
      <c r="M31378" t="s">
        <v>229</v>
      </c>
    </row>
    <row r="31379" spans="13:13" x14ac:dyDescent="0.25">
      <c r="M31379" t="s">
        <v>230</v>
      </c>
    </row>
    <row r="31380" spans="13:13" x14ac:dyDescent="0.25">
      <c r="M31380" t="s">
        <v>231</v>
      </c>
    </row>
    <row r="31381" spans="13:13" x14ac:dyDescent="0.25">
      <c r="M31381" t="s">
        <v>232</v>
      </c>
    </row>
    <row r="31382" spans="13:13" x14ac:dyDescent="0.25">
      <c r="M31382" t="s">
        <v>233</v>
      </c>
    </row>
    <row r="31383" spans="13:13" x14ac:dyDescent="0.25">
      <c r="M31383" t="s">
        <v>234</v>
      </c>
    </row>
    <row r="31384" spans="13:13" x14ac:dyDescent="0.25">
      <c r="M31384" t="s">
        <v>235</v>
      </c>
    </row>
    <row r="31385" spans="13:13" x14ac:dyDescent="0.25">
      <c r="M31385" t="s">
        <v>236</v>
      </c>
    </row>
    <row r="31386" spans="13:13" x14ac:dyDescent="0.25">
      <c r="M31386" t="s">
        <v>237</v>
      </c>
    </row>
    <row r="31387" spans="13:13" x14ac:dyDescent="0.25">
      <c r="M31387" t="s">
        <v>238</v>
      </c>
    </row>
    <row r="31388" spans="13:13" x14ac:dyDescent="0.25">
      <c r="M31388" t="s">
        <v>239</v>
      </c>
    </row>
    <row r="31389" spans="13:13" x14ac:dyDescent="0.25">
      <c r="M31389" t="s">
        <v>240</v>
      </c>
    </row>
    <row r="31390" spans="13:13" x14ac:dyDescent="0.25">
      <c r="M31390" t="s">
        <v>241</v>
      </c>
    </row>
    <row r="31391" spans="13:13" x14ac:dyDescent="0.25">
      <c r="M31391" t="s">
        <v>242</v>
      </c>
    </row>
    <row r="31392" spans="13:13" x14ac:dyDescent="0.25">
      <c r="M31392" t="s">
        <v>243</v>
      </c>
    </row>
    <row r="31393" spans="13:13" x14ac:dyDescent="0.25">
      <c r="M31393" t="s">
        <v>244</v>
      </c>
    </row>
    <row r="31394" spans="13:13" x14ac:dyDescent="0.25">
      <c r="M31394" t="s">
        <v>245</v>
      </c>
    </row>
    <row r="31395" spans="13:13" x14ac:dyDescent="0.25">
      <c r="M31395" t="s">
        <v>246</v>
      </c>
    </row>
    <row r="31396" spans="13:13" x14ac:dyDescent="0.25">
      <c r="M31396" t="s">
        <v>247</v>
      </c>
    </row>
    <row r="31397" spans="13:13" x14ac:dyDescent="0.25">
      <c r="M31397" t="s">
        <v>248</v>
      </c>
    </row>
    <row r="31398" spans="13:13" x14ac:dyDescent="0.25">
      <c r="M31398" t="s">
        <v>249</v>
      </c>
    </row>
    <row r="31399" spans="13:13" x14ac:dyDescent="0.25">
      <c r="M31399" t="s">
        <v>250</v>
      </c>
    </row>
    <row r="31400" spans="13:13" x14ac:dyDescent="0.25">
      <c r="M31400" t="s">
        <v>251</v>
      </c>
    </row>
    <row r="31401" spans="13:13" x14ac:dyDescent="0.25">
      <c r="M31401" t="s">
        <v>252</v>
      </c>
    </row>
    <row r="31402" spans="13:13" x14ac:dyDescent="0.25">
      <c r="M31402" t="s">
        <v>253</v>
      </c>
    </row>
    <row r="31412" spans="13:13" x14ac:dyDescent="0.25">
      <c r="M31412" t="s">
        <v>254</v>
      </c>
    </row>
    <row r="31413" spans="13:13" x14ac:dyDescent="0.25">
      <c r="M31413" t="s">
        <v>83</v>
      </c>
    </row>
    <row r="31427" spans="13:13" x14ac:dyDescent="0.25">
      <c r="M31427" t="s">
        <v>255</v>
      </c>
    </row>
    <row r="31428" spans="13:13" x14ac:dyDescent="0.25">
      <c r="M31428" t="s">
        <v>256</v>
      </c>
    </row>
    <row r="31429" spans="13:13" x14ac:dyDescent="0.25">
      <c r="M31429" t="s">
        <v>257</v>
      </c>
    </row>
    <row r="31430" spans="13:13" x14ac:dyDescent="0.25">
      <c r="M31430" t="s">
        <v>258</v>
      </c>
    </row>
    <row r="31431" spans="13:13" x14ac:dyDescent="0.25">
      <c r="M31431" t="s">
        <v>259</v>
      </c>
    </row>
    <row r="31432" spans="13:13" x14ac:dyDescent="0.25">
      <c r="M31432" t="s">
        <v>260</v>
      </c>
    </row>
    <row r="31433" spans="13:13" x14ac:dyDescent="0.25">
      <c r="M31433" t="s">
        <v>261</v>
      </c>
    </row>
    <row r="31434" spans="13:13" x14ac:dyDescent="0.25">
      <c r="M31434" t="s">
        <v>262</v>
      </c>
    </row>
    <row r="31435" spans="13:13" x14ac:dyDescent="0.25">
      <c r="M31435" t="s">
        <v>263</v>
      </c>
    </row>
    <row r="31486" spans="13:13" x14ac:dyDescent="0.25">
      <c r="M31486" t="s">
        <v>264</v>
      </c>
    </row>
    <row r="31487" spans="13:13" x14ac:dyDescent="0.25">
      <c r="M31487" t="s">
        <v>265</v>
      </c>
    </row>
    <row r="31488" spans="13:13" x14ac:dyDescent="0.25">
      <c r="M31488" t="s">
        <v>266</v>
      </c>
    </row>
    <row r="31537" spans="13:13" x14ac:dyDescent="0.25">
      <c r="M31537" t="s">
        <v>267</v>
      </c>
    </row>
    <row r="31538" spans="13:13" x14ac:dyDescent="0.25">
      <c r="M31538" t="s">
        <v>268</v>
      </c>
    </row>
    <row r="31539" spans="13:13" x14ac:dyDescent="0.25">
      <c r="M31539" t="s">
        <v>269</v>
      </c>
    </row>
    <row r="31540" spans="13:13" x14ac:dyDescent="0.25">
      <c r="M31540" t="s">
        <v>270</v>
      </c>
    </row>
    <row r="31541" spans="13:13" x14ac:dyDescent="0.25">
      <c r="M31541" t="s">
        <v>271</v>
      </c>
    </row>
    <row r="31542" spans="13:13" x14ac:dyDescent="0.25">
      <c r="M31542" t="s">
        <v>272</v>
      </c>
    </row>
    <row r="31563" spans="13:13" x14ac:dyDescent="0.25">
      <c r="M31563" t="s">
        <v>273</v>
      </c>
    </row>
    <row r="31564" spans="13:13" x14ac:dyDescent="0.25">
      <c r="M31564" t="s">
        <v>274</v>
      </c>
    </row>
    <row r="31567" spans="13:13" x14ac:dyDescent="0.25">
      <c r="M31567" t="s">
        <v>275</v>
      </c>
    </row>
    <row r="31568" spans="13:13" x14ac:dyDescent="0.25">
      <c r="M31568" t="s">
        <v>276</v>
      </c>
    </row>
    <row r="31569" spans="13:13" x14ac:dyDescent="0.25">
      <c r="M31569" t="s">
        <v>277</v>
      </c>
    </row>
    <row r="31574" spans="13:13" x14ac:dyDescent="0.25">
      <c r="M31574" t="s">
        <v>278</v>
      </c>
    </row>
    <row r="31575" spans="13:13" x14ac:dyDescent="0.25">
      <c r="M31575" t="s">
        <v>279</v>
      </c>
    </row>
    <row r="31591" spans="13:13" x14ac:dyDescent="0.25">
      <c r="M31591" t="s">
        <v>203</v>
      </c>
    </row>
    <row r="31592" spans="13:13" x14ac:dyDescent="0.25">
      <c r="M31592" t="s">
        <v>204</v>
      </c>
    </row>
    <row r="31593" spans="13:13" x14ac:dyDescent="0.25">
      <c r="M31593" t="s">
        <v>205</v>
      </c>
    </row>
    <row r="31594" spans="13:13" x14ac:dyDescent="0.25">
      <c r="M31594" t="s">
        <v>206</v>
      </c>
    </row>
    <row r="31595" spans="13:13" x14ac:dyDescent="0.25">
      <c r="M31595" t="s">
        <v>207</v>
      </c>
    </row>
    <row r="31596" spans="13:13" x14ac:dyDescent="0.25">
      <c r="M31596" t="s">
        <v>208</v>
      </c>
    </row>
    <row r="31597" spans="13:13" x14ac:dyDescent="0.25">
      <c r="M31597" t="s">
        <v>209</v>
      </c>
    </row>
    <row r="31598" spans="13:13" x14ac:dyDescent="0.25">
      <c r="M31598" t="s">
        <v>210</v>
      </c>
    </row>
    <row r="31618" spans="13:13" x14ac:dyDescent="0.25">
      <c r="M31618" t="s">
        <v>211</v>
      </c>
    </row>
    <row r="31619" spans="13:13" x14ac:dyDescent="0.25">
      <c r="M31619" t="s">
        <v>212</v>
      </c>
    </row>
    <row r="31620" spans="13:13" x14ac:dyDescent="0.25">
      <c r="M31620" t="s">
        <v>213</v>
      </c>
    </row>
    <row r="31621" spans="13:13" x14ac:dyDescent="0.25">
      <c r="M31621" t="s">
        <v>214</v>
      </c>
    </row>
    <row r="31622" spans="13:13" x14ac:dyDescent="0.25">
      <c r="M31622" t="s">
        <v>215</v>
      </c>
    </row>
    <row r="31623" spans="13:13" x14ac:dyDescent="0.25">
      <c r="M31623" t="s">
        <v>216</v>
      </c>
    </row>
    <row r="31624" spans="13:13" x14ac:dyDescent="0.25">
      <c r="M31624" t="s">
        <v>217</v>
      </c>
    </row>
    <row r="31625" spans="13:13" x14ac:dyDescent="0.25">
      <c r="M31625" t="s">
        <v>218</v>
      </c>
    </row>
    <row r="31626" spans="13:13" x14ac:dyDescent="0.25">
      <c r="M31626" t="s">
        <v>219</v>
      </c>
    </row>
    <row r="31627" spans="13:13" x14ac:dyDescent="0.25">
      <c r="M31627" t="s">
        <v>220</v>
      </c>
    </row>
    <row r="31631" spans="13:13" x14ac:dyDescent="0.25">
      <c r="M31631" t="s">
        <v>221</v>
      </c>
    </row>
    <row r="31632" spans="13:13" x14ac:dyDescent="0.25">
      <c r="M31632" t="s">
        <v>222</v>
      </c>
    </row>
    <row r="31633" spans="13:13" x14ac:dyDescent="0.25">
      <c r="M31633" t="s">
        <v>223</v>
      </c>
    </row>
    <row r="31634" spans="13:13" x14ac:dyDescent="0.25">
      <c r="M31634" t="s">
        <v>224</v>
      </c>
    </row>
    <row r="31635" spans="13:13" x14ac:dyDescent="0.25">
      <c r="M31635" t="s">
        <v>225</v>
      </c>
    </row>
    <row r="31636" spans="13:13" x14ac:dyDescent="0.25">
      <c r="M31636" t="s">
        <v>226</v>
      </c>
    </row>
    <row r="31637" spans="13:13" x14ac:dyDescent="0.25">
      <c r="M31637" t="s">
        <v>227</v>
      </c>
    </row>
    <row r="31638" spans="13:13" x14ac:dyDescent="0.25">
      <c r="M31638" t="s">
        <v>228</v>
      </c>
    </row>
    <row r="31639" spans="13:13" x14ac:dyDescent="0.25">
      <c r="M31639" t="s">
        <v>229</v>
      </c>
    </row>
    <row r="31640" spans="13:13" x14ac:dyDescent="0.25">
      <c r="M31640" t="s">
        <v>230</v>
      </c>
    </row>
    <row r="31641" spans="13:13" x14ac:dyDescent="0.25">
      <c r="M31641" t="s">
        <v>231</v>
      </c>
    </row>
    <row r="31642" spans="13:13" x14ac:dyDescent="0.25">
      <c r="M31642" t="s">
        <v>232</v>
      </c>
    </row>
    <row r="31643" spans="13:13" x14ac:dyDescent="0.25">
      <c r="M31643" t="s">
        <v>233</v>
      </c>
    </row>
    <row r="31644" spans="13:13" x14ac:dyDescent="0.25">
      <c r="M31644" t="s">
        <v>234</v>
      </c>
    </row>
    <row r="31645" spans="13:13" x14ac:dyDescent="0.25">
      <c r="M31645" t="s">
        <v>235</v>
      </c>
    </row>
    <row r="31646" spans="13:13" x14ac:dyDescent="0.25">
      <c r="M31646" t="s">
        <v>236</v>
      </c>
    </row>
    <row r="31647" spans="13:13" x14ac:dyDescent="0.25">
      <c r="M31647" t="s">
        <v>237</v>
      </c>
    </row>
    <row r="31648" spans="13:13" x14ac:dyDescent="0.25">
      <c r="M31648" t="s">
        <v>238</v>
      </c>
    </row>
    <row r="31649" spans="13:13" x14ac:dyDescent="0.25">
      <c r="M31649" t="s">
        <v>239</v>
      </c>
    </row>
    <row r="31650" spans="13:13" x14ac:dyDescent="0.25">
      <c r="M31650" t="s">
        <v>240</v>
      </c>
    </row>
    <row r="31651" spans="13:13" x14ac:dyDescent="0.25">
      <c r="M31651" t="s">
        <v>241</v>
      </c>
    </row>
    <row r="31652" spans="13:13" x14ac:dyDescent="0.25">
      <c r="M31652" t="s">
        <v>242</v>
      </c>
    </row>
    <row r="31653" spans="13:13" x14ac:dyDescent="0.25">
      <c r="M31653" t="s">
        <v>243</v>
      </c>
    </row>
    <row r="31654" spans="13:13" x14ac:dyDescent="0.25">
      <c r="M31654" t="s">
        <v>244</v>
      </c>
    </row>
    <row r="31655" spans="13:13" x14ac:dyDescent="0.25">
      <c r="M31655" t="s">
        <v>245</v>
      </c>
    </row>
    <row r="31656" spans="13:13" x14ac:dyDescent="0.25">
      <c r="M31656" t="s">
        <v>246</v>
      </c>
    </row>
    <row r="31657" spans="13:13" x14ac:dyDescent="0.25">
      <c r="M31657" t="s">
        <v>247</v>
      </c>
    </row>
    <row r="31658" spans="13:13" x14ac:dyDescent="0.25">
      <c r="M31658" t="s">
        <v>248</v>
      </c>
    </row>
    <row r="31659" spans="13:13" x14ac:dyDescent="0.25">
      <c r="M31659" t="s">
        <v>249</v>
      </c>
    </row>
    <row r="31660" spans="13:13" x14ac:dyDescent="0.25">
      <c r="M31660" t="s">
        <v>250</v>
      </c>
    </row>
    <row r="31661" spans="13:13" x14ac:dyDescent="0.25">
      <c r="M31661" t="s">
        <v>251</v>
      </c>
    </row>
    <row r="31662" spans="13:13" x14ac:dyDescent="0.25">
      <c r="M31662" t="s">
        <v>252</v>
      </c>
    </row>
    <row r="31663" spans="13:13" x14ac:dyDescent="0.25">
      <c r="M31663" t="s">
        <v>253</v>
      </c>
    </row>
    <row r="31673" spans="13:13" x14ac:dyDescent="0.25">
      <c r="M31673" t="s">
        <v>254</v>
      </c>
    </row>
    <row r="31674" spans="13:13" x14ac:dyDescent="0.25">
      <c r="M31674" t="s">
        <v>83</v>
      </c>
    </row>
    <row r="31688" spans="13:13" x14ac:dyDescent="0.25">
      <c r="M31688" t="s">
        <v>255</v>
      </c>
    </row>
    <row r="31689" spans="13:13" x14ac:dyDescent="0.25">
      <c r="M31689" t="s">
        <v>256</v>
      </c>
    </row>
    <row r="31690" spans="13:13" x14ac:dyDescent="0.25">
      <c r="M31690" t="s">
        <v>257</v>
      </c>
    </row>
    <row r="31691" spans="13:13" x14ac:dyDescent="0.25">
      <c r="M31691" t="s">
        <v>258</v>
      </c>
    </row>
    <row r="31692" spans="13:13" x14ac:dyDescent="0.25">
      <c r="M31692" t="s">
        <v>259</v>
      </c>
    </row>
    <row r="31693" spans="13:13" x14ac:dyDescent="0.25">
      <c r="M31693" t="s">
        <v>260</v>
      </c>
    </row>
    <row r="31694" spans="13:13" x14ac:dyDescent="0.25">
      <c r="M31694" t="s">
        <v>261</v>
      </c>
    </row>
    <row r="31695" spans="13:13" x14ac:dyDescent="0.25">
      <c r="M31695" t="s">
        <v>262</v>
      </c>
    </row>
    <row r="31696" spans="13:13" x14ac:dyDescent="0.25">
      <c r="M31696" t="s">
        <v>263</v>
      </c>
    </row>
    <row r="31747" spans="13:13" x14ac:dyDescent="0.25">
      <c r="M31747" t="s">
        <v>264</v>
      </c>
    </row>
    <row r="31748" spans="13:13" x14ac:dyDescent="0.25">
      <c r="M31748" t="s">
        <v>265</v>
      </c>
    </row>
    <row r="31749" spans="13:13" x14ac:dyDescent="0.25">
      <c r="M31749" t="s">
        <v>266</v>
      </c>
    </row>
    <row r="31798" spans="13:13" x14ac:dyDescent="0.25">
      <c r="M31798" t="s">
        <v>267</v>
      </c>
    </row>
    <row r="31799" spans="13:13" x14ac:dyDescent="0.25">
      <c r="M31799" t="s">
        <v>268</v>
      </c>
    </row>
    <row r="31800" spans="13:13" x14ac:dyDescent="0.25">
      <c r="M31800" t="s">
        <v>269</v>
      </c>
    </row>
    <row r="31801" spans="13:13" x14ac:dyDescent="0.25">
      <c r="M31801" t="s">
        <v>270</v>
      </c>
    </row>
    <row r="31802" spans="13:13" x14ac:dyDescent="0.25">
      <c r="M31802" t="s">
        <v>271</v>
      </c>
    </row>
    <row r="31803" spans="13:13" x14ac:dyDescent="0.25">
      <c r="M31803" t="s">
        <v>272</v>
      </c>
    </row>
    <row r="31824" spans="13:13" x14ac:dyDescent="0.25">
      <c r="M31824" t="s">
        <v>273</v>
      </c>
    </row>
    <row r="31825" spans="13:13" x14ac:dyDescent="0.25">
      <c r="M31825" t="s">
        <v>274</v>
      </c>
    </row>
    <row r="31828" spans="13:13" x14ac:dyDescent="0.25">
      <c r="M31828" t="s">
        <v>275</v>
      </c>
    </row>
    <row r="31829" spans="13:13" x14ac:dyDescent="0.25">
      <c r="M31829" t="s">
        <v>276</v>
      </c>
    </row>
    <row r="31830" spans="13:13" x14ac:dyDescent="0.25">
      <c r="M31830" t="s">
        <v>277</v>
      </c>
    </row>
    <row r="31835" spans="13:13" x14ac:dyDescent="0.25">
      <c r="M31835" t="s">
        <v>278</v>
      </c>
    </row>
    <row r="31836" spans="13:13" x14ac:dyDescent="0.25">
      <c r="M31836" t="s">
        <v>279</v>
      </c>
    </row>
    <row r="31852" spans="13:13" x14ac:dyDescent="0.25">
      <c r="M31852" t="s">
        <v>203</v>
      </c>
    </row>
    <row r="31853" spans="13:13" x14ac:dyDescent="0.25">
      <c r="M31853" t="s">
        <v>204</v>
      </c>
    </row>
    <row r="31854" spans="13:13" x14ac:dyDescent="0.25">
      <c r="M31854" t="s">
        <v>205</v>
      </c>
    </row>
    <row r="31855" spans="13:13" x14ac:dyDescent="0.25">
      <c r="M31855" t="s">
        <v>206</v>
      </c>
    </row>
    <row r="31856" spans="13:13" x14ac:dyDescent="0.25">
      <c r="M31856" t="s">
        <v>207</v>
      </c>
    </row>
    <row r="31857" spans="13:13" x14ac:dyDescent="0.25">
      <c r="M31857" t="s">
        <v>208</v>
      </c>
    </row>
    <row r="31858" spans="13:13" x14ac:dyDescent="0.25">
      <c r="M31858" t="s">
        <v>209</v>
      </c>
    </row>
    <row r="31859" spans="13:13" x14ac:dyDescent="0.25">
      <c r="M31859" t="s">
        <v>210</v>
      </c>
    </row>
    <row r="31879" spans="13:13" x14ac:dyDescent="0.25">
      <c r="M31879" t="s">
        <v>211</v>
      </c>
    </row>
    <row r="31880" spans="13:13" x14ac:dyDescent="0.25">
      <c r="M31880" t="s">
        <v>212</v>
      </c>
    </row>
    <row r="31881" spans="13:13" x14ac:dyDescent="0.25">
      <c r="M31881" t="s">
        <v>213</v>
      </c>
    </row>
    <row r="31882" spans="13:13" x14ac:dyDescent="0.25">
      <c r="M31882" t="s">
        <v>214</v>
      </c>
    </row>
    <row r="31883" spans="13:13" x14ac:dyDescent="0.25">
      <c r="M31883" t="s">
        <v>215</v>
      </c>
    </row>
    <row r="31884" spans="13:13" x14ac:dyDescent="0.25">
      <c r="M31884" t="s">
        <v>216</v>
      </c>
    </row>
    <row r="31885" spans="13:13" x14ac:dyDescent="0.25">
      <c r="M31885" t="s">
        <v>217</v>
      </c>
    </row>
    <row r="31886" spans="13:13" x14ac:dyDescent="0.25">
      <c r="M31886" t="s">
        <v>218</v>
      </c>
    </row>
    <row r="31887" spans="13:13" x14ac:dyDescent="0.25">
      <c r="M31887" t="s">
        <v>219</v>
      </c>
    </row>
    <row r="31888" spans="13:13" x14ac:dyDescent="0.25">
      <c r="M31888" t="s">
        <v>220</v>
      </c>
    </row>
    <row r="31892" spans="13:13" x14ac:dyDescent="0.25">
      <c r="M31892" t="s">
        <v>221</v>
      </c>
    </row>
    <row r="31893" spans="13:13" x14ac:dyDescent="0.25">
      <c r="M31893" t="s">
        <v>222</v>
      </c>
    </row>
    <row r="31894" spans="13:13" x14ac:dyDescent="0.25">
      <c r="M31894" t="s">
        <v>223</v>
      </c>
    </row>
    <row r="31895" spans="13:13" x14ac:dyDescent="0.25">
      <c r="M31895" t="s">
        <v>224</v>
      </c>
    </row>
    <row r="31896" spans="13:13" x14ac:dyDescent="0.25">
      <c r="M31896" t="s">
        <v>225</v>
      </c>
    </row>
    <row r="31897" spans="13:13" x14ac:dyDescent="0.25">
      <c r="M31897" t="s">
        <v>226</v>
      </c>
    </row>
    <row r="31898" spans="13:13" x14ac:dyDescent="0.25">
      <c r="M31898" t="s">
        <v>227</v>
      </c>
    </row>
    <row r="31899" spans="13:13" x14ac:dyDescent="0.25">
      <c r="M31899" t="s">
        <v>228</v>
      </c>
    </row>
    <row r="31900" spans="13:13" x14ac:dyDescent="0.25">
      <c r="M31900" t="s">
        <v>229</v>
      </c>
    </row>
    <row r="31901" spans="13:13" x14ac:dyDescent="0.25">
      <c r="M31901" t="s">
        <v>230</v>
      </c>
    </row>
    <row r="31902" spans="13:13" x14ac:dyDescent="0.25">
      <c r="M31902" t="s">
        <v>231</v>
      </c>
    </row>
    <row r="31903" spans="13:13" x14ac:dyDescent="0.25">
      <c r="M31903" t="s">
        <v>232</v>
      </c>
    </row>
    <row r="31904" spans="13:13" x14ac:dyDescent="0.25">
      <c r="M31904" t="s">
        <v>233</v>
      </c>
    </row>
    <row r="31905" spans="13:13" x14ac:dyDescent="0.25">
      <c r="M31905" t="s">
        <v>234</v>
      </c>
    </row>
    <row r="31906" spans="13:13" x14ac:dyDescent="0.25">
      <c r="M31906" t="s">
        <v>235</v>
      </c>
    </row>
    <row r="31907" spans="13:13" x14ac:dyDescent="0.25">
      <c r="M31907" t="s">
        <v>236</v>
      </c>
    </row>
    <row r="31908" spans="13:13" x14ac:dyDescent="0.25">
      <c r="M31908" t="s">
        <v>237</v>
      </c>
    </row>
    <row r="31909" spans="13:13" x14ac:dyDescent="0.25">
      <c r="M31909" t="s">
        <v>238</v>
      </c>
    </row>
    <row r="31910" spans="13:13" x14ac:dyDescent="0.25">
      <c r="M31910" t="s">
        <v>239</v>
      </c>
    </row>
    <row r="31911" spans="13:13" x14ac:dyDescent="0.25">
      <c r="M31911" t="s">
        <v>240</v>
      </c>
    </row>
    <row r="31912" spans="13:13" x14ac:dyDescent="0.25">
      <c r="M31912" t="s">
        <v>241</v>
      </c>
    </row>
    <row r="31913" spans="13:13" x14ac:dyDescent="0.25">
      <c r="M31913" t="s">
        <v>242</v>
      </c>
    </row>
    <row r="31914" spans="13:13" x14ac:dyDescent="0.25">
      <c r="M31914" t="s">
        <v>243</v>
      </c>
    </row>
    <row r="31915" spans="13:13" x14ac:dyDescent="0.25">
      <c r="M31915" t="s">
        <v>244</v>
      </c>
    </row>
    <row r="31916" spans="13:13" x14ac:dyDescent="0.25">
      <c r="M31916" t="s">
        <v>245</v>
      </c>
    </row>
    <row r="31917" spans="13:13" x14ac:dyDescent="0.25">
      <c r="M31917" t="s">
        <v>246</v>
      </c>
    </row>
    <row r="31918" spans="13:13" x14ac:dyDescent="0.25">
      <c r="M31918" t="s">
        <v>247</v>
      </c>
    </row>
    <row r="31919" spans="13:13" x14ac:dyDescent="0.25">
      <c r="M31919" t="s">
        <v>248</v>
      </c>
    </row>
    <row r="31920" spans="13:13" x14ac:dyDescent="0.25">
      <c r="M31920" t="s">
        <v>249</v>
      </c>
    </row>
    <row r="31921" spans="13:13" x14ac:dyDescent="0.25">
      <c r="M31921" t="s">
        <v>250</v>
      </c>
    </row>
    <row r="31922" spans="13:13" x14ac:dyDescent="0.25">
      <c r="M31922" t="s">
        <v>251</v>
      </c>
    </row>
    <row r="31923" spans="13:13" x14ac:dyDescent="0.25">
      <c r="M31923" t="s">
        <v>252</v>
      </c>
    </row>
    <row r="31924" spans="13:13" x14ac:dyDescent="0.25">
      <c r="M31924" t="s">
        <v>253</v>
      </c>
    </row>
    <row r="31934" spans="13:13" x14ac:dyDescent="0.25">
      <c r="M31934" t="s">
        <v>254</v>
      </c>
    </row>
    <row r="31935" spans="13:13" x14ac:dyDescent="0.25">
      <c r="M31935" t="s">
        <v>83</v>
      </c>
    </row>
    <row r="31949" spans="13:13" x14ac:dyDescent="0.25">
      <c r="M31949" t="s">
        <v>255</v>
      </c>
    </row>
    <row r="31950" spans="13:13" x14ac:dyDescent="0.25">
      <c r="M31950" t="s">
        <v>256</v>
      </c>
    </row>
    <row r="31951" spans="13:13" x14ac:dyDescent="0.25">
      <c r="M31951" t="s">
        <v>257</v>
      </c>
    </row>
    <row r="31952" spans="13:13" x14ac:dyDescent="0.25">
      <c r="M31952" t="s">
        <v>258</v>
      </c>
    </row>
    <row r="31953" spans="13:13" x14ac:dyDescent="0.25">
      <c r="M31953" t="s">
        <v>259</v>
      </c>
    </row>
    <row r="31954" spans="13:13" x14ac:dyDescent="0.25">
      <c r="M31954" t="s">
        <v>260</v>
      </c>
    </row>
    <row r="31955" spans="13:13" x14ac:dyDescent="0.25">
      <c r="M31955" t="s">
        <v>261</v>
      </c>
    </row>
    <row r="31956" spans="13:13" x14ac:dyDescent="0.25">
      <c r="M31956" t="s">
        <v>262</v>
      </c>
    </row>
    <row r="31957" spans="13:13" x14ac:dyDescent="0.25">
      <c r="M31957" t="s">
        <v>263</v>
      </c>
    </row>
    <row r="32008" spans="13:13" x14ac:dyDescent="0.25">
      <c r="M32008" t="s">
        <v>264</v>
      </c>
    </row>
    <row r="32009" spans="13:13" x14ac:dyDescent="0.25">
      <c r="M32009" t="s">
        <v>265</v>
      </c>
    </row>
    <row r="32010" spans="13:13" x14ac:dyDescent="0.25">
      <c r="M32010" t="s">
        <v>266</v>
      </c>
    </row>
    <row r="32059" spans="13:13" x14ac:dyDescent="0.25">
      <c r="M32059" t="s">
        <v>267</v>
      </c>
    </row>
    <row r="32060" spans="13:13" x14ac:dyDescent="0.25">
      <c r="M32060" t="s">
        <v>268</v>
      </c>
    </row>
    <row r="32061" spans="13:13" x14ac:dyDescent="0.25">
      <c r="M32061" t="s">
        <v>269</v>
      </c>
    </row>
    <row r="32062" spans="13:13" x14ac:dyDescent="0.25">
      <c r="M32062" t="s">
        <v>270</v>
      </c>
    </row>
    <row r="32063" spans="13:13" x14ac:dyDescent="0.25">
      <c r="M32063" t="s">
        <v>271</v>
      </c>
    </row>
    <row r="32064" spans="13:13" x14ac:dyDescent="0.25">
      <c r="M32064" t="s">
        <v>272</v>
      </c>
    </row>
    <row r="32085" spans="13:13" x14ac:dyDescent="0.25">
      <c r="M32085" t="s">
        <v>273</v>
      </c>
    </row>
    <row r="32086" spans="13:13" x14ac:dyDescent="0.25">
      <c r="M32086" t="s">
        <v>274</v>
      </c>
    </row>
    <row r="32089" spans="13:13" x14ac:dyDescent="0.25">
      <c r="M32089" t="s">
        <v>275</v>
      </c>
    </row>
    <row r="32090" spans="13:13" x14ac:dyDescent="0.25">
      <c r="M32090" t="s">
        <v>276</v>
      </c>
    </row>
    <row r="32091" spans="13:13" x14ac:dyDescent="0.25">
      <c r="M32091" t="s">
        <v>277</v>
      </c>
    </row>
    <row r="32096" spans="13:13" x14ac:dyDescent="0.25">
      <c r="M32096" t="s">
        <v>278</v>
      </c>
    </row>
    <row r="32097" spans="13:13" x14ac:dyDescent="0.25">
      <c r="M32097" t="s">
        <v>279</v>
      </c>
    </row>
    <row r="32113" spans="13:13" x14ac:dyDescent="0.25">
      <c r="M32113" t="s">
        <v>203</v>
      </c>
    </row>
    <row r="32114" spans="13:13" x14ac:dyDescent="0.25">
      <c r="M32114" t="s">
        <v>204</v>
      </c>
    </row>
    <row r="32115" spans="13:13" x14ac:dyDescent="0.25">
      <c r="M32115" t="s">
        <v>205</v>
      </c>
    </row>
    <row r="32116" spans="13:13" x14ac:dyDescent="0.25">
      <c r="M32116" t="s">
        <v>206</v>
      </c>
    </row>
    <row r="32117" spans="13:13" x14ac:dyDescent="0.25">
      <c r="M32117" t="s">
        <v>207</v>
      </c>
    </row>
    <row r="32118" spans="13:13" x14ac:dyDescent="0.25">
      <c r="M32118" t="s">
        <v>208</v>
      </c>
    </row>
    <row r="32119" spans="13:13" x14ac:dyDescent="0.25">
      <c r="M32119" t="s">
        <v>209</v>
      </c>
    </row>
    <row r="32120" spans="13:13" x14ac:dyDescent="0.25">
      <c r="M32120" t="s">
        <v>210</v>
      </c>
    </row>
    <row r="32140" spans="13:13" x14ac:dyDescent="0.25">
      <c r="M32140" t="s">
        <v>211</v>
      </c>
    </row>
    <row r="32141" spans="13:13" x14ac:dyDescent="0.25">
      <c r="M32141" t="s">
        <v>212</v>
      </c>
    </row>
    <row r="32142" spans="13:13" x14ac:dyDescent="0.25">
      <c r="M32142" t="s">
        <v>213</v>
      </c>
    </row>
    <row r="32143" spans="13:13" x14ac:dyDescent="0.25">
      <c r="M32143" t="s">
        <v>214</v>
      </c>
    </row>
    <row r="32144" spans="13:13" x14ac:dyDescent="0.25">
      <c r="M32144" t="s">
        <v>215</v>
      </c>
    </row>
    <row r="32145" spans="13:13" x14ac:dyDescent="0.25">
      <c r="M32145" t="s">
        <v>216</v>
      </c>
    </row>
    <row r="32146" spans="13:13" x14ac:dyDescent="0.25">
      <c r="M32146" t="s">
        <v>217</v>
      </c>
    </row>
    <row r="32147" spans="13:13" x14ac:dyDescent="0.25">
      <c r="M32147" t="s">
        <v>218</v>
      </c>
    </row>
    <row r="32148" spans="13:13" x14ac:dyDescent="0.25">
      <c r="M32148" t="s">
        <v>219</v>
      </c>
    </row>
    <row r="32149" spans="13:13" x14ac:dyDescent="0.25">
      <c r="M32149" t="s">
        <v>220</v>
      </c>
    </row>
    <row r="32153" spans="13:13" x14ac:dyDescent="0.25">
      <c r="M32153" t="s">
        <v>221</v>
      </c>
    </row>
    <row r="32154" spans="13:13" x14ac:dyDescent="0.25">
      <c r="M32154" t="s">
        <v>222</v>
      </c>
    </row>
    <row r="32155" spans="13:13" x14ac:dyDescent="0.25">
      <c r="M32155" t="s">
        <v>223</v>
      </c>
    </row>
    <row r="32156" spans="13:13" x14ac:dyDescent="0.25">
      <c r="M32156" t="s">
        <v>224</v>
      </c>
    </row>
    <row r="32157" spans="13:13" x14ac:dyDescent="0.25">
      <c r="M32157" t="s">
        <v>225</v>
      </c>
    </row>
    <row r="32158" spans="13:13" x14ac:dyDescent="0.25">
      <c r="M32158" t="s">
        <v>226</v>
      </c>
    </row>
    <row r="32159" spans="13:13" x14ac:dyDescent="0.25">
      <c r="M32159" t="s">
        <v>227</v>
      </c>
    </row>
    <row r="32160" spans="13:13" x14ac:dyDescent="0.25">
      <c r="M32160" t="s">
        <v>228</v>
      </c>
    </row>
    <row r="32161" spans="13:13" x14ac:dyDescent="0.25">
      <c r="M32161" t="s">
        <v>229</v>
      </c>
    </row>
    <row r="32162" spans="13:13" x14ac:dyDescent="0.25">
      <c r="M32162" t="s">
        <v>230</v>
      </c>
    </row>
    <row r="32163" spans="13:13" x14ac:dyDescent="0.25">
      <c r="M32163" t="s">
        <v>231</v>
      </c>
    </row>
    <row r="32164" spans="13:13" x14ac:dyDescent="0.25">
      <c r="M32164" t="s">
        <v>232</v>
      </c>
    </row>
    <row r="32165" spans="13:13" x14ac:dyDescent="0.25">
      <c r="M32165" t="s">
        <v>233</v>
      </c>
    </row>
    <row r="32166" spans="13:13" x14ac:dyDescent="0.25">
      <c r="M32166" t="s">
        <v>234</v>
      </c>
    </row>
    <row r="32167" spans="13:13" x14ac:dyDescent="0.25">
      <c r="M32167" t="s">
        <v>235</v>
      </c>
    </row>
    <row r="32168" spans="13:13" x14ac:dyDescent="0.25">
      <c r="M32168" t="s">
        <v>236</v>
      </c>
    </row>
    <row r="32169" spans="13:13" x14ac:dyDescent="0.25">
      <c r="M32169" t="s">
        <v>237</v>
      </c>
    </row>
    <row r="32170" spans="13:13" x14ac:dyDescent="0.25">
      <c r="M32170" t="s">
        <v>238</v>
      </c>
    </row>
    <row r="32171" spans="13:13" x14ac:dyDescent="0.25">
      <c r="M32171" t="s">
        <v>239</v>
      </c>
    </row>
    <row r="32172" spans="13:13" x14ac:dyDescent="0.25">
      <c r="M32172" t="s">
        <v>240</v>
      </c>
    </row>
    <row r="32173" spans="13:13" x14ac:dyDescent="0.25">
      <c r="M32173" t="s">
        <v>241</v>
      </c>
    </row>
    <row r="32174" spans="13:13" x14ac:dyDescent="0.25">
      <c r="M32174" t="s">
        <v>242</v>
      </c>
    </row>
    <row r="32175" spans="13:13" x14ac:dyDescent="0.25">
      <c r="M32175" t="s">
        <v>243</v>
      </c>
    </row>
    <row r="32176" spans="13:13" x14ac:dyDescent="0.25">
      <c r="M32176" t="s">
        <v>244</v>
      </c>
    </row>
    <row r="32177" spans="13:13" x14ac:dyDescent="0.25">
      <c r="M32177" t="s">
        <v>245</v>
      </c>
    </row>
    <row r="32178" spans="13:13" x14ac:dyDescent="0.25">
      <c r="M32178" t="s">
        <v>246</v>
      </c>
    </row>
    <row r="32179" spans="13:13" x14ac:dyDescent="0.25">
      <c r="M32179" t="s">
        <v>247</v>
      </c>
    </row>
    <row r="32180" spans="13:13" x14ac:dyDescent="0.25">
      <c r="M32180" t="s">
        <v>248</v>
      </c>
    </row>
    <row r="32181" spans="13:13" x14ac:dyDescent="0.25">
      <c r="M32181" t="s">
        <v>249</v>
      </c>
    </row>
    <row r="32182" spans="13:13" x14ac:dyDescent="0.25">
      <c r="M32182" t="s">
        <v>250</v>
      </c>
    </row>
    <row r="32183" spans="13:13" x14ac:dyDescent="0.25">
      <c r="M32183" t="s">
        <v>251</v>
      </c>
    </row>
    <row r="32184" spans="13:13" x14ac:dyDescent="0.25">
      <c r="M32184" t="s">
        <v>252</v>
      </c>
    </row>
    <row r="32185" spans="13:13" x14ac:dyDescent="0.25">
      <c r="M32185" t="s">
        <v>253</v>
      </c>
    </row>
    <row r="32195" spans="13:13" x14ac:dyDescent="0.25">
      <c r="M32195" t="s">
        <v>254</v>
      </c>
    </row>
    <row r="32196" spans="13:13" x14ac:dyDescent="0.25">
      <c r="M32196" t="s">
        <v>83</v>
      </c>
    </row>
    <row r="32210" spans="13:13" x14ac:dyDescent="0.25">
      <c r="M32210" t="s">
        <v>255</v>
      </c>
    </row>
    <row r="32211" spans="13:13" x14ac:dyDescent="0.25">
      <c r="M32211" t="s">
        <v>256</v>
      </c>
    </row>
    <row r="32212" spans="13:13" x14ac:dyDescent="0.25">
      <c r="M32212" t="s">
        <v>257</v>
      </c>
    </row>
    <row r="32213" spans="13:13" x14ac:dyDescent="0.25">
      <c r="M32213" t="s">
        <v>258</v>
      </c>
    </row>
    <row r="32214" spans="13:13" x14ac:dyDescent="0.25">
      <c r="M32214" t="s">
        <v>259</v>
      </c>
    </row>
    <row r="32215" spans="13:13" x14ac:dyDescent="0.25">
      <c r="M32215" t="s">
        <v>260</v>
      </c>
    </row>
    <row r="32216" spans="13:13" x14ac:dyDescent="0.25">
      <c r="M32216" t="s">
        <v>261</v>
      </c>
    </row>
    <row r="32217" spans="13:13" x14ac:dyDescent="0.25">
      <c r="M32217" t="s">
        <v>262</v>
      </c>
    </row>
    <row r="32218" spans="13:13" x14ac:dyDescent="0.25">
      <c r="M32218" t="s">
        <v>263</v>
      </c>
    </row>
    <row r="32269" spans="13:13" x14ac:dyDescent="0.25">
      <c r="M32269" t="s">
        <v>264</v>
      </c>
    </row>
    <row r="32270" spans="13:13" x14ac:dyDescent="0.25">
      <c r="M32270" t="s">
        <v>265</v>
      </c>
    </row>
    <row r="32271" spans="13:13" x14ac:dyDescent="0.25">
      <c r="M32271" t="s">
        <v>266</v>
      </c>
    </row>
    <row r="32320" spans="13:13" x14ac:dyDescent="0.25">
      <c r="M32320" t="s">
        <v>267</v>
      </c>
    </row>
    <row r="32321" spans="13:13" x14ac:dyDescent="0.25">
      <c r="M32321" t="s">
        <v>268</v>
      </c>
    </row>
    <row r="32322" spans="13:13" x14ac:dyDescent="0.25">
      <c r="M32322" t="s">
        <v>269</v>
      </c>
    </row>
    <row r="32323" spans="13:13" x14ac:dyDescent="0.25">
      <c r="M32323" t="s">
        <v>270</v>
      </c>
    </row>
    <row r="32324" spans="13:13" x14ac:dyDescent="0.25">
      <c r="M32324" t="s">
        <v>271</v>
      </c>
    </row>
    <row r="32325" spans="13:13" x14ac:dyDescent="0.25">
      <c r="M32325" t="s">
        <v>272</v>
      </c>
    </row>
    <row r="32346" spans="13:13" x14ac:dyDescent="0.25">
      <c r="M32346" t="s">
        <v>273</v>
      </c>
    </row>
    <row r="32347" spans="13:13" x14ac:dyDescent="0.25">
      <c r="M32347" t="s">
        <v>274</v>
      </c>
    </row>
    <row r="32350" spans="13:13" x14ac:dyDescent="0.25">
      <c r="M32350" t="s">
        <v>275</v>
      </c>
    </row>
    <row r="32351" spans="13:13" x14ac:dyDescent="0.25">
      <c r="M32351" t="s">
        <v>276</v>
      </c>
    </row>
    <row r="32352" spans="13:13" x14ac:dyDescent="0.25">
      <c r="M32352" t="s">
        <v>277</v>
      </c>
    </row>
    <row r="32357" spans="13:13" x14ac:dyDescent="0.25">
      <c r="M32357" t="s">
        <v>278</v>
      </c>
    </row>
    <row r="32358" spans="13:13" x14ac:dyDescent="0.25">
      <c r="M32358" t="s">
        <v>279</v>
      </c>
    </row>
    <row r="32374" spans="13:13" x14ac:dyDescent="0.25">
      <c r="M32374" t="s">
        <v>203</v>
      </c>
    </row>
    <row r="32375" spans="13:13" x14ac:dyDescent="0.25">
      <c r="M32375" t="s">
        <v>204</v>
      </c>
    </row>
    <row r="32376" spans="13:13" x14ac:dyDescent="0.25">
      <c r="M32376" t="s">
        <v>205</v>
      </c>
    </row>
    <row r="32377" spans="13:13" x14ac:dyDescent="0.25">
      <c r="M32377" t="s">
        <v>206</v>
      </c>
    </row>
    <row r="32378" spans="13:13" x14ac:dyDescent="0.25">
      <c r="M32378" t="s">
        <v>207</v>
      </c>
    </row>
    <row r="32379" spans="13:13" x14ac:dyDescent="0.25">
      <c r="M32379" t="s">
        <v>208</v>
      </c>
    </row>
    <row r="32380" spans="13:13" x14ac:dyDescent="0.25">
      <c r="M32380" t="s">
        <v>209</v>
      </c>
    </row>
    <row r="32381" spans="13:13" x14ac:dyDescent="0.25">
      <c r="M32381" t="s">
        <v>210</v>
      </c>
    </row>
    <row r="32401" spans="13:13" x14ac:dyDescent="0.25">
      <c r="M32401" t="s">
        <v>211</v>
      </c>
    </row>
    <row r="32402" spans="13:13" x14ac:dyDescent="0.25">
      <c r="M32402" t="s">
        <v>212</v>
      </c>
    </row>
    <row r="32403" spans="13:13" x14ac:dyDescent="0.25">
      <c r="M32403" t="s">
        <v>213</v>
      </c>
    </row>
    <row r="32404" spans="13:13" x14ac:dyDescent="0.25">
      <c r="M32404" t="s">
        <v>214</v>
      </c>
    </row>
    <row r="32405" spans="13:13" x14ac:dyDescent="0.25">
      <c r="M32405" t="s">
        <v>215</v>
      </c>
    </row>
    <row r="32406" spans="13:13" x14ac:dyDescent="0.25">
      <c r="M32406" t="s">
        <v>216</v>
      </c>
    </row>
    <row r="32407" spans="13:13" x14ac:dyDescent="0.25">
      <c r="M32407" t="s">
        <v>217</v>
      </c>
    </row>
    <row r="32408" spans="13:13" x14ac:dyDescent="0.25">
      <c r="M32408" t="s">
        <v>218</v>
      </c>
    </row>
    <row r="32409" spans="13:13" x14ac:dyDescent="0.25">
      <c r="M32409" t="s">
        <v>219</v>
      </c>
    </row>
    <row r="32410" spans="13:13" x14ac:dyDescent="0.25">
      <c r="M32410" t="s">
        <v>220</v>
      </c>
    </row>
    <row r="32414" spans="13:13" x14ac:dyDescent="0.25">
      <c r="M32414" t="s">
        <v>221</v>
      </c>
    </row>
    <row r="32415" spans="13:13" x14ac:dyDescent="0.25">
      <c r="M32415" t="s">
        <v>222</v>
      </c>
    </row>
    <row r="32416" spans="13:13" x14ac:dyDescent="0.25">
      <c r="M32416" t="s">
        <v>223</v>
      </c>
    </row>
    <row r="32417" spans="13:13" x14ac:dyDescent="0.25">
      <c r="M32417" t="s">
        <v>224</v>
      </c>
    </row>
    <row r="32418" spans="13:13" x14ac:dyDescent="0.25">
      <c r="M32418" t="s">
        <v>225</v>
      </c>
    </row>
    <row r="32419" spans="13:13" x14ac:dyDescent="0.25">
      <c r="M32419" t="s">
        <v>226</v>
      </c>
    </row>
    <row r="32420" spans="13:13" x14ac:dyDescent="0.25">
      <c r="M32420" t="s">
        <v>227</v>
      </c>
    </row>
    <row r="32421" spans="13:13" x14ac:dyDescent="0.25">
      <c r="M32421" t="s">
        <v>228</v>
      </c>
    </row>
    <row r="32422" spans="13:13" x14ac:dyDescent="0.25">
      <c r="M32422" t="s">
        <v>229</v>
      </c>
    </row>
    <row r="32423" spans="13:13" x14ac:dyDescent="0.25">
      <c r="M32423" t="s">
        <v>230</v>
      </c>
    </row>
    <row r="32424" spans="13:13" x14ac:dyDescent="0.25">
      <c r="M32424" t="s">
        <v>231</v>
      </c>
    </row>
    <row r="32425" spans="13:13" x14ac:dyDescent="0.25">
      <c r="M32425" t="s">
        <v>232</v>
      </c>
    </row>
    <row r="32426" spans="13:13" x14ac:dyDescent="0.25">
      <c r="M32426" t="s">
        <v>233</v>
      </c>
    </row>
    <row r="32427" spans="13:13" x14ac:dyDescent="0.25">
      <c r="M32427" t="s">
        <v>234</v>
      </c>
    </row>
    <row r="32428" spans="13:13" x14ac:dyDescent="0.25">
      <c r="M32428" t="s">
        <v>235</v>
      </c>
    </row>
    <row r="32429" spans="13:13" x14ac:dyDescent="0.25">
      <c r="M32429" t="s">
        <v>236</v>
      </c>
    </row>
    <row r="32430" spans="13:13" x14ac:dyDescent="0.25">
      <c r="M32430" t="s">
        <v>237</v>
      </c>
    </row>
    <row r="32431" spans="13:13" x14ac:dyDescent="0.25">
      <c r="M32431" t="s">
        <v>238</v>
      </c>
    </row>
    <row r="32432" spans="13:13" x14ac:dyDescent="0.25">
      <c r="M32432" t="s">
        <v>239</v>
      </c>
    </row>
    <row r="32433" spans="13:13" x14ac:dyDescent="0.25">
      <c r="M32433" t="s">
        <v>240</v>
      </c>
    </row>
    <row r="32434" spans="13:13" x14ac:dyDescent="0.25">
      <c r="M32434" t="s">
        <v>241</v>
      </c>
    </row>
    <row r="32435" spans="13:13" x14ac:dyDescent="0.25">
      <c r="M32435" t="s">
        <v>242</v>
      </c>
    </row>
    <row r="32436" spans="13:13" x14ac:dyDescent="0.25">
      <c r="M32436" t="s">
        <v>243</v>
      </c>
    </row>
    <row r="32437" spans="13:13" x14ac:dyDescent="0.25">
      <c r="M32437" t="s">
        <v>244</v>
      </c>
    </row>
    <row r="32438" spans="13:13" x14ac:dyDescent="0.25">
      <c r="M32438" t="s">
        <v>245</v>
      </c>
    </row>
    <row r="32439" spans="13:13" x14ac:dyDescent="0.25">
      <c r="M32439" t="s">
        <v>246</v>
      </c>
    </row>
    <row r="32440" spans="13:13" x14ac:dyDescent="0.25">
      <c r="M32440" t="s">
        <v>247</v>
      </c>
    </row>
    <row r="32441" spans="13:13" x14ac:dyDescent="0.25">
      <c r="M32441" t="s">
        <v>248</v>
      </c>
    </row>
    <row r="32442" spans="13:13" x14ac:dyDescent="0.25">
      <c r="M32442" t="s">
        <v>249</v>
      </c>
    </row>
    <row r="32443" spans="13:13" x14ac:dyDescent="0.25">
      <c r="M32443" t="s">
        <v>250</v>
      </c>
    </row>
    <row r="32444" spans="13:13" x14ac:dyDescent="0.25">
      <c r="M32444" t="s">
        <v>251</v>
      </c>
    </row>
    <row r="32445" spans="13:13" x14ac:dyDescent="0.25">
      <c r="M32445" t="s">
        <v>252</v>
      </c>
    </row>
    <row r="32446" spans="13:13" x14ac:dyDescent="0.25">
      <c r="M32446" t="s">
        <v>253</v>
      </c>
    </row>
    <row r="32456" spans="13:13" x14ac:dyDescent="0.25">
      <c r="M32456" t="s">
        <v>254</v>
      </c>
    </row>
    <row r="32457" spans="13:13" x14ac:dyDescent="0.25">
      <c r="M32457" t="s">
        <v>83</v>
      </c>
    </row>
    <row r="32471" spans="13:13" x14ac:dyDescent="0.25">
      <c r="M32471" t="s">
        <v>255</v>
      </c>
    </row>
    <row r="32472" spans="13:13" x14ac:dyDescent="0.25">
      <c r="M32472" t="s">
        <v>256</v>
      </c>
    </row>
    <row r="32473" spans="13:13" x14ac:dyDescent="0.25">
      <c r="M32473" t="s">
        <v>257</v>
      </c>
    </row>
    <row r="32474" spans="13:13" x14ac:dyDescent="0.25">
      <c r="M32474" t="s">
        <v>258</v>
      </c>
    </row>
    <row r="32475" spans="13:13" x14ac:dyDescent="0.25">
      <c r="M32475" t="s">
        <v>259</v>
      </c>
    </row>
    <row r="32476" spans="13:13" x14ac:dyDescent="0.25">
      <c r="M32476" t="s">
        <v>260</v>
      </c>
    </row>
    <row r="32477" spans="13:13" x14ac:dyDescent="0.25">
      <c r="M32477" t="s">
        <v>261</v>
      </c>
    </row>
    <row r="32478" spans="13:13" x14ac:dyDescent="0.25">
      <c r="M32478" t="s">
        <v>262</v>
      </c>
    </row>
    <row r="32479" spans="13:13" x14ac:dyDescent="0.25">
      <c r="M32479" t="s">
        <v>263</v>
      </c>
    </row>
    <row r="32530" spans="13:13" x14ac:dyDescent="0.25">
      <c r="M32530" t="s">
        <v>264</v>
      </c>
    </row>
    <row r="32531" spans="13:13" x14ac:dyDescent="0.25">
      <c r="M32531" t="s">
        <v>265</v>
      </c>
    </row>
    <row r="32532" spans="13:13" x14ac:dyDescent="0.25">
      <c r="M32532" t="s">
        <v>266</v>
      </c>
    </row>
    <row r="32581" spans="13:13" x14ac:dyDescent="0.25">
      <c r="M32581" t="s">
        <v>267</v>
      </c>
    </row>
    <row r="32582" spans="13:13" x14ac:dyDescent="0.25">
      <c r="M32582" t="s">
        <v>268</v>
      </c>
    </row>
    <row r="32583" spans="13:13" x14ac:dyDescent="0.25">
      <c r="M32583" t="s">
        <v>269</v>
      </c>
    </row>
    <row r="32584" spans="13:13" x14ac:dyDescent="0.25">
      <c r="M32584" t="s">
        <v>270</v>
      </c>
    </row>
    <row r="32585" spans="13:13" x14ac:dyDescent="0.25">
      <c r="M32585" t="s">
        <v>271</v>
      </c>
    </row>
    <row r="32586" spans="13:13" x14ac:dyDescent="0.25">
      <c r="M32586" t="s">
        <v>272</v>
      </c>
    </row>
    <row r="32607" spans="13:13" x14ac:dyDescent="0.25">
      <c r="M32607" t="s">
        <v>273</v>
      </c>
    </row>
    <row r="32608" spans="13:13" x14ac:dyDescent="0.25">
      <c r="M32608" t="s">
        <v>274</v>
      </c>
    </row>
    <row r="32611" spans="13:13" x14ac:dyDescent="0.25">
      <c r="M32611" t="s">
        <v>275</v>
      </c>
    </row>
    <row r="32612" spans="13:13" x14ac:dyDescent="0.25">
      <c r="M32612" t="s">
        <v>276</v>
      </c>
    </row>
    <row r="32613" spans="13:13" x14ac:dyDescent="0.25">
      <c r="M32613" t="s">
        <v>277</v>
      </c>
    </row>
    <row r="32618" spans="13:13" x14ac:dyDescent="0.25">
      <c r="M32618" t="s">
        <v>278</v>
      </c>
    </row>
    <row r="32619" spans="13:13" x14ac:dyDescent="0.25">
      <c r="M32619" t="s">
        <v>279</v>
      </c>
    </row>
    <row r="32635" spans="13:13" x14ac:dyDescent="0.25">
      <c r="M32635" t="s">
        <v>203</v>
      </c>
    </row>
    <row r="32636" spans="13:13" x14ac:dyDescent="0.25">
      <c r="M32636" t="s">
        <v>204</v>
      </c>
    </row>
    <row r="32637" spans="13:13" x14ac:dyDescent="0.25">
      <c r="M32637" t="s">
        <v>205</v>
      </c>
    </row>
    <row r="32638" spans="13:13" x14ac:dyDescent="0.25">
      <c r="M32638" t="s">
        <v>206</v>
      </c>
    </row>
    <row r="32639" spans="13:13" x14ac:dyDescent="0.25">
      <c r="M32639" t="s">
        <v>207</v>
      </c>
    </row>
    <row r="32640" spans="13:13" x14ac:dyDescent="0.25">
      <c r="M32640" t="s">
        <v>208</v>
      </c>
    </row>
    <row r="32641" spans="13:13" x14ac:dyDescent="0.25">
      <c r="M32641" t="s">
        <v>209</v>
      </c>
    </row>
    <row r="32642" spans="13:13" x14ac:dyDescent="0.25">
      <c r="M32642" t="s">
        <v>210</v>
      </c>
    </row>
    <row r="32662" spans="13:13" x14ac:dyDescent="0.25">
      <c r="M32662" t="s">
        <v>211</v>
      </c>
    </row>
    <row r="32663" spans="13:13" x14ac:dyDescent="0.25">
      <c r="M32663" t="s">
        <v>212</v>
      </c>
    </row>
    <row r="32664" spans="13:13" x14ac:dyDescent="0.25">
      <c r="M32664" t="s">
        <v>213</v>
      </c>
    </row>
    <row r="32665" spans="13:13" x14ac:dyDescent="0.25">
      <c r="M32665" t="s">
        <v>214</v>
      </c>
    </row>
    <row r="32666" spans="13:13" x14ac:dyDescent="0.25">
      <c r="M32666" t="s">
        <v>215</v>
      </c>
    </row>
    <row r="32667" spans="13:13" x14ac:dyDescent="0.25">
      <c r="M32667" t="s">
        <v>216</v>
      </c>
    </row>
    <row r="32668" spans="13:13" x14ac:dyDescent="0.25">
      <c r="M32668" t="s">
        <v>217</v>
      </c>
    </row>
    <row r="32669" spans="13:13" x14ac:dyDescent="0.25">
      <c r="M32669" t="s">
        <v>218</v>
      </c>
    </row>
    <row r="32670" spans="13:13" x14ac:dyDescent="0.25">
      <c r="M32670" t="s">
        <v>219</v>
      </c>
    </row>
    <row r="32671" spans="13:13" x14ac:dyDescent="0.25">
      <c r="M32671" t="s">
        <v>220</v>
      </c>
    </row>
    <row r="32675" spans="13:13" x14ac:dyDescent="0.25">
      <c r="M32675" t="s">
        <v>221</v>
      </c>
    </row>
    <row r="32676" spans="13:13" x14ac:dyDescent="0.25">
      <c r="M32676" t="s">
        <v>222</v>
      </c>
    </row>
    <row r="32677" spans="13:13" x14ac:dyDescent="0.25">
      <c r="M32677" t="s">
        <v>223</v>
      </c>
    </row>
    <row r="32678" spans="13:13" x14ac:dyDescent="0.25">
      <c r="M32678" t="s">
        <v>224</v>
      </c>
    </row>
    <row r="32679" spans="13:13" x14ac:dyDescent="0.25">
      <c r="M32679" t="s">
        <v>225</v>
      </c>
    </row>
    <row r="32680" spans="13:13" x14ac:dyDescent="0.25">
      <c r="M32680" t="s">
        <v>226</v>
      </c>
    </row>
    <row r="32681" spans="13:13" x14ac:dyDescent="0.25">
      <c r="M32681" t="s">
        <v>227</v>
      </c>
    </row>
    <row r="32682" spans="13:13" x14ac:dyDescent="0.25">
      <c r="M32682" t="s">
        <v>228</v>
      </c>
    </row>
    <row r="32683" spans="13:13" x14ac:dyDescent="0.25">
      <c r="M32683" t="s">
        <v>229</v>
      </c>
    </row>
    <row r="32684" spans="13:13" x14ac:dyDescent="0.25">
      <c r="M32684" t="s">
        <v>230</v>
      </c>
    </row>
    <row r="32685" spans="13:13" x14ac:dyDescent="0.25">
      <c r="M32685" t="s">
        <v>231</v>
      </c>
    </row>
    <row r="32686" spans="13:13" x14ac:dyDescent="0.25">
      <c r="M32686" t="s">
        <v>232</v>
      </c>
    </row>
    <row r="32687" spans="13:13" x14ac:dyDescent="0.25">
      <c r="M32687" t="s">
        <v>233</v>
      </c>
    </row>
    <row r="32688" spans="13:13" x14ac:dyDescent="0.25">
      <c r="M32688" t="s">
        <v>234</v>
      </c>
    </row>
    <row r="32689" spans="13:13" x14ac:dyDescent="0.25">
      <c r="M32689" t="s">
        <v>235</v>
      </c>
    </row>
    <row r="32690" spans="13:13" x14ac:dyDescent="0.25">
      <c r="M32690" t="s">
        <v>236</v>
      </c>
    </row>
    <row r="32691" spans="13:13" x14ac:dyDescent="0.25">
      <c r="M32691" t="s">
        <v>237</v>
      </c>
    </row>
    <row r="32692" spans="13:13" x14ac:dyDescent="0.25">
      <c r="M32692" t="s">
        <v>238</v>
      </c>
    </row>
    <row r="32693" spans="13:13" x14ac:dyDescent="0.25">
      <c r="M32693" t="s">
        <v>239</v>
      </c>
    </row>
    <row r="32694" spans="13:13" x14ac:dyDescent="0.25">
      <c r="M32694" t="s">
        <v>240</v>
      </c>
    </row>
    <row r="32695" spans="13:13" x14ac:dyDescent="0.25">
      <c r="M32695" t="s">
        <v>241</v>
      </c>
    </row>
    <row r="32696" spans="13:13" x14ac:dyDescent="0.25">
      <c r="M32696" t="s">
        <v>242</v>
      </c>
    </row>
    <row r="32697" spans="13:13" x14ac:dyDescent="0.25">
      <c r="M32697" t="s">
        <v>243</v>
      </c>
    </row>
    <row r="32698" spans="13:13" x14ac:dyDescent="0.25">
      <c r="M32698" t="s">
        <v>244</v>
      </c>
    </row>
    <row r="32699" spans="13:13" x14ac:dyDescent="0.25">
      <c r="M32699" t="s">
        <v>245</v>
      </c>
    </row>
    <row r="32700" spans="13:13" x14ac:dyDescent="0.25">
      <c r="M32700" t="s">
        <v>246</v>
      </c>
    </row>
    <row r="32701" spans="13:13" x14ac:dyDescent="0.25">
      <c r="M32701" t="s">
        <v>247</v>
      </c>
    </row>
    <row r="32702" spans="13:13" x14ac:dyDescent="0.25">
      <c r="M32702" t="s">
        <v>248</v>
      </c>
    </row>
    <row r="32703" spans="13:13" x14ac:dyDescent="0.25">
      <c r="M32703" t="s">
        <v>249</v>
      </c>
    </row>
    <row r="32704" spans="13:13" x14ac:dyDescent="0.25">
      <c r="M32704" t="s">
        <v>250</v>
      </c>
    </row>
    <row r="32705" spans="13:13" x14ac:dyDescent="0.25">
      <c r="M32705" t="s">
        <v>251</v>
      </c>
    </row>
    <row r="32706" spans="13:13" x14ac:dyDescent="0.25">
      <c r="M32706" t="s">
        <v>252</v>
      </c>
    </row>
    <row r="32707" spans="13:13" x14ac:dyDescent="0.25">
      <c r="M32707" t="s">
        <v>253</v>
      </c>
    </row>
    <row r="32717" spans="13:13" x14ac:dyDescent="0.25">
      <c r="M32717" t="s">
        <v>254</v>
      </c>
    </row>
    <row r="32718" spans="13:13" x14ac:dyDescent="0.25">
      <c r="M32718" t="s">
        <v>83</v>
      </c>
    </row>
    <row r="32732" spans="13:13" x14ac:dyDescent="0.25">
      <c r="M32732" t="s">
        <v>255</v>
      </c>
    </row>
    <row r="32733" spans="13:13" x14ac:dyDescent="0.25">
      <c r="M32733" t="s">
        <v>256</v>
      </c>
    </row>
    <row r="32734" spans="13:13" x14ac:dyDescent="0.25">
      <c r="M32734" t="s">
        <v>257</v>
      </c>
    </row>
    <row r="32735" spans="13:13" x14ac:dyDescent="0.25">
      <c r="M32735" t="s">
        <v>258</v>
      </c>
    </row>
    <row r="32736" spans="13:13" x14ac:dyDescent="0.25">
      <c r="M32736" t="s">
        <v>259</v>
      </c>
    </row>
    <row r="32737" spans="13:13" x14ac:dyDescent="0.25">
      <c r="M32737" t="s">
        <v>260</v>
      </c>
    </row>
    <row r="32738" spans="13:13" x14ac:dyDescent="0.25">
      <c r="M32738" t="s">
        <v>261</v>
      </c>
    </row>
    <row r="32739" spans="13:13" x14ac:dyDescent="0.25">
      <c r="M32739" t="s">
        <v>262</v>
      </c>
    </row>
    <row r="32740" spans="13:13" x14ac:dyDescent="0.25">
      <c r="M32740" t="s">
        <v>263</v>
      </c>
    </row>
    <row r="32791" spans="13:13" x14ac:dyDescent="0.25">
      <c r="M32791" t="s">
        <v>264</v>
      </c>
    </row>
    <row r="32792" spans="13:13" x14ac:dyDescent="0.25">
      <c r="M32792" t="s">
        <v>265</v>
      </c>
    </row>
    <row r="32793" spans="13:13" x14ac:dyDescent="0.25">
      <c r="M32793" t="s">
        <v>266</v>
      </c>
    </row>
    <row r="32842" spans="13:13" x14ac:dyDescent="0.25">
      <c r="M32842" t="s">
        <v>267</v>
      </c>
    </row>
    <row r="32843" spans="13:13" x14ac:dyDescent="0.25">
      <c r="M32843" t="s">
        <v>268</v>
      </c>
    </row>
    <row r="32844" spans="13:13" x14ac:dyDescent="0.25">
      <c r="M32844" t="s">
        <v>269</v>
      </c>
    </row>
    <row r="32845" spans="13:13" x14ac:dyDescent="0.25">
      <c r="M32845" t="s">
        <v>270</v>
      </c>
    </row>
    <row r="32846" spans="13:13" x14ac:dyDescent="0.25">
      <c r="M32846" t="s">
        <v>271</v>
      </c>
    </row>
    <row r="32847" spans="13:13" x14ac:dyDescent="0.25">
      <c r="M32847" t="s">
        <v>272</v>
      </c>
    </row>
    <row r="32868" spans="13:13" x14ac:dyDescent="0.25">
      <c r="M32868" t="s">
        <v>273</v>
      </c>
    </row>
    <row r="32869" spans="13:13" x14ac:dyDescent="0.25">
      <c r="M32869" t="s">
        <v>274</v>
      </c>
    </row>
    <row r="32872" spans="13:13" x14ac:dyDescent="0.25">
      <c r="M32872" t="s">
        <v>275</v>
      </c>
    </row>
    <row r="32873" spans="13:13" x14ac:dyDescent="0.25">
      <c r="M32873" t="s">
        <v>276</v>
      </c>
    </row>
    <row r="32874" spans="13:13" x14ac:dyDescent="0.25">
      <c r="M32874" t="s">
        <v>277</v>
      </c>
    </row>
    <row r="32879" spans="13:13" x14ac:dyDescent="0.25">
      <c r="M32879" t="s">
        <v>278</v>
      </c>
    </row>
    <row r="32880" spans="13:13" x14ac:dyDescent="0.25">
      <c r="M32880" t="s">
        <v>279</v>
      </c>
    </row>
    <row r="32896" spans="13:13" x14ac:dyDescent="0.25">
      <c r="M32896" t="s">
        <v>203</v>
      </c>
    </row>
    <row r="32897" spans="13:13" x14ac:dyDescent="0.25">
      <c r="M32897" t="s">
        <v>204</v>
      </c>
    </row>
    <row r="32898" spans="13:13" x14ac:dyDescent="0.25">
      <c r="M32898" t="s">
        <v>205</v>
      </c>
    </row>
    <row r="32899" spans="13:13" x14ac:dyDescent="0.25">
      <c r="M32899" t="s">
        <v>206</v>
      </c>
    </row>
    <row r="32900" spans="13:13" x14ac:dyDescent="0.25">
      <c r="M32900" t="s">
        <v>207</v>
      </c>
    </row>
    <row r="32901" spans="13:13" x14ac:dyDescent="0.25">
      <c r="M32901" t="s">
        <v>208</v>
      </c>
    </row>
    <row r="32902" spans="13:13" x14ac:dyDescent="0.25">
      <c r="M32902" t="s">
        <v>209</v>
      </c>
    </row>
    <row r="32903" spans="13:13" x14ac:dyDescent="0.25">
      <c r="M32903" t="s">
        <v>210</v>
      </c>
    </row>
    <row r="32923" spans="13:13" x14ac:dyDescent="0.25">
      <c r="M32923" t="s">
        <v>211</v>
      </c>
    </row>
    <row r="32924" spans="13:13" x14ac:dyDescent="0.25">
      <c r="M32924" t="s">
        <v>212</v>
      </c>
    </row>
    <row r="32925" spans="13:13" x14ac:dyDescent="0.25">
      <c r="M32925" t="s">
        <v>213</v>
      </c>
    </row>
    <row r="32926" spans="13:13" x14ac:dyDescent="0.25">
      <c r="M32926" t="s">
        <v>214</v>
      </c>
    </row>
    <row r="32927" spans="13:13" x14ac:dyDescent="0.25">
      <c r="M32927" t="s">
        <v>215</v>
      </c>
    </row>
    <row r="32928" spans="13:13" x14ac:dyDescent="0.25">
      <c r="M32928" t="s">
        <v>216</v>
      </c>
    </row>
    <row r="32929" spans="13:13" x14ac:dyDescent="0.25">
      <c r="M32929" t="s">
        <v>217</v>
      </c>
    </row>
    <row r="32930" spans="13:13" x14ac:dyDescent="0.25">
      <c r="M32930" t="s">
        <v>218</v>
      </c>
    </row>
    <row r="32931" spans="13:13" x14ac:dyDescent="0.25">
      <c r="M32931" t="s">
        <v>219</v>
      </c>
    </row>
    <row r="32932" spans="13:13" x14ac:dyDescent="0.25">
      <c r="M32932" t="s">
        <v>220</v>
      </c>
    </row>
    <row r="32936" spans="13:13" x14ac:dyDescent="0.25">
      <c r="M32936" t="s">
        <v>221</v>
      </c>
    </row>
    <row r="32937" spans="13:13" x14ac:dyDescent="0.25">
      <c r="M32937" t="s">
        <v>222</v>
      </c>
    </row>
    <row r="32938" spans="13:13" x14ac:dyDescent="0.25">
      <c r="M32938" t="s">
        <v>223</v>
      </c>
    </row>
    <row r="32939" spans="13:13" x14ac:dyDescent="0.25">
      <c r="M32939" t="s">
        <v>224</v>
      </c>
    </row>
    <row r="32940" spans="13:13" x14ac:dyDescent="0.25">
      <c r="M32940" t="s">
        <v>225</v>
      </c>
    </row>
    <row r="32941" spans="13:13" x14ac:dyDescent="0.25">
      <c r="M32941" t="s">
        <v>226</v>
      </c>
    </row>
    <row r="32942" spans="13:13" x14ac:dyDescent="0.25">
      <c r="M32942" t="s">
        <v>227</v>
      </c>
    </row>
    <row r="32943" spans="13:13" x14ac:dyDescent="0.25">
      <c r="M32943" t="s">
        <v>228</v>
      </c>
    </row>
    <row r="32944" spans="13:13" x14ac:dyDescent="0.25">
      <c r="M32944" t="s">
        <v>229</v>
      </c>
    </row>
    <row r="32945" spans="13:13" x14ac:dyDescent="0.25">
      <c r="M32945" t="s">
        <v>230</v>
      </c>
    </row>
    <row r="32946" spans="13:13" x14ac:dyDescent="0.25">
      <c r="M32946" t="s">
        <v>231</v>
      </c>
    </row>
    <row r="32947" spans="13:13" x14ac:dyDescent="0.25">
      <c r="M32947" t="s">
        <v>232</v>
      </c>
    </row>
    <row r="32948" spans="13:13" x14ac:dyDescent="0.25">
      <c r="M32948" t="s">
        <v>233</v>
      </c>
    </row>
    <row r="32949" spans="13:13" x14ac:dyDescent="0.25">
      <c r="M32949" t="s">
        <v>234</v>
      </c>
    </row>
    <row r="32950" spans="13:13" x14ac:dyDescent="0.25">
      <c r="M32950" t="s">
        <v>235</v>
      </c>
    </row>
    <row r="32951" spans="13:13" x14ac:dyDescent="0.25">
      <c r="M32951" t="s">
        <v>236</v>
      </c>
    </row>
    <row r="32952" spans="13:13" x14ac:dyDescent="0.25">
      <c r="M32952" t="s">
        <v>237</v>
      </c>
    </row>
    <row r="32953" spans="13:13" x14ac:dyDescent="0.25">
      <c r="M32953" t="s">
        <v>238</v>
      </c>
    </row>
    <row r="32954" spans="13:13" x14ac:dyDescent="0.25">
      <c r="M32954" t="s">
        <v>239</v>
      </c>
    </row>
    <row r="32955" spans="13:13" x14ac:dyDescent="0.25">
      <c r="M32955" t="s">
        <v>240</v>
      </c>
    </row>
    <row r="32956" spans="13:13" x14ac:dyDescent="0.25">
      <c r="M32956" t="s">
        <v>241</v>
      </c>
    </row>
    <row r="32957" spans="13:13" x14ac:dyDescent="0.25">
      <c r="M32957" t="s">
        <v>242</v>
      </c>
    </row>
    <row r="32958" spans="13:13" x14ac:dyDescent="0.25">
      <c r="M32958" t="s">
        <v>243</v>
      </c>
    </row>
    <row r="32959" spans="13:13" x14ac:dyDescent="0.25">
      <c r="M32959" t="s">
        <v>244</v>
      </c>
    </row>
    <row r="32960" spans="13:13" x14ac:dyDescent="0.25">
      <c r="M32960" t="s">
        <v>245</v>
      </c>
    </row>
    <row r="32961" spans="13:13" x14ac:dyDescent="0.25">
      <c r="M32961" t="s">
        <v>246</v>
      </c>
    </row>
    <row r="32962" spans="13:13" x14ac:dyDescent="0.25">
      <c r="M32962" t="s">
        <v>247</v>
      </c>
    </row>
    <row r="32963" spans="13:13" x14ac:dyDescent="0.25">
      <c r="M32963" t="s">
        <v>248</v>
      </c>
    </row>
    <row r="32964" spans="13:13" x14ac:dyDescent="0.25">
      <c r="M32964" t="s">
        <v>249</v>
      </c>
    </row>
    <row r="32965" spans="13:13" x14ac:dyDescent="0.25">
      <c r="M32965" t="s">
        <v>250</v>
      </c>
    </row>
    <row r="32966" spans="13:13" x14ac:dyDescent="0.25">
      <c r="M32966" t="s">
        <v>251</v>
      </c>
    </row>
    <row r="32967" spans="13:13" x14ac:dyDescent="0.25">
      <c r="M32967" t="s">
        <v>252</v>
      </c>
    </row>
    <row r="32968" spans="13:13" x14ac:dyDescent="0.25">
      <c r="M32968" t="s">
        <v>253</v>
      </c>
    </row>
    <row r="32978" spans="13:13" x14ac:dyDescent="0.25">
      <c r="M32978" t="s">
        <v>254</v>
      </c>
    </row>
    <row r="32979" spans="13:13" x14ac:dyDescent="0.25">
      <c r="M32979" t="s">
        <v>83</v>
      </c>
    </row>
    <row r="32993" spans="13:13" x14ac:dyDescent="0.25">
      <c r="M32993" t="s">
        <v>255</v>
      </c>
    </row>
    <row r="32994" spans="13:13" x14ac:dyDescent="0.25">
      <c r="M32994" t="s">
        <v>256</v>
      </c>
    </row>
    <row r="32995" spans="13:13" x14ac:dyDescent="0.25">
      <c r="M32995" t="s">
        <v>257</v>
      </c>
    </row>
    <row r="32996" spans="13:13" x14ac:dyDescent="0.25">
      <c r="M32996" t="s">
        <v>258</v>
      </c>
    </row>
    <row r="32997" spans="13:13" x14ac:dyDescent="0.25">
      <c r="M32997" t="s">
        <v>259</v>
      </c>
    </row>
    <row r="32998" spans="13:13" x14ac:dyDescent="0.25">
      <c r="M32998" t="s">
        <v>260</v>
      </c>
    </row>
    <row r="32999" spans="13:13" x14ac:dyDescent="0.25">
      <c r="M32999" t="s">
        <v>261</v>
      </c>
    </row>
    <row r="33000" spans="13:13" x14ac:dyDescent="0.25">
      <c r="M33000" t="s">
        <v>262</v>
      </c>
    </row>
    <row r="33001" spans="13:13" x14ac:dyDescent="0.25">
      <c r="M33001" t="s">
        <v>263</v>
      </c>
    </row>
    <row r="33052" spans="13:13" x14ac:dyDescent="0.25">
      <c r="M33052" t="s">
        <v>264</v>
      </c>
    </row>
    <row r="33053" spans="13:13" x14ac:dyDescent="0.25">
      <c r="M33053" t="s">
        <v>265</v>
      </c>
    </row>
    <row r="33054" spans="13:13" x14ac:dyDescent="0.25">
      <c r="M33054" t="s">
        <v>266</v>
      </c>
    </row>
    <row r="33103" spans="13:13" x14ac:dyDescent="0.25">
      <c r="M33103" t="s">
        <v>267</v>
      </c>
    </row>
    <row r="33104" spans="13:13" x14ac:dyDescent="0.25">
      <c r="M33104" t="s">
        <v>268</v>
      </c>
    </row>
    <row r="33105" spans="13:13" x14ac:dyDescent="0.25">
      <c r="M33105" t="s">
        <v>269</v>
      </c>
    </row>
    <row r="33106" spans="13:13" x14ac:dyDescent="0.25">
      <c r="M33106" t="s">
        <v>270</v>
      </c>
    </row>
    <row r="33107" spans="13:13" x14ac:dyDescent="0.25">
      <c r="M33107" t="s">
        <v>271</v>
      </c>
    </row>
    <row r="33108" spans="13:13" x14ac:dyDescent="0.25">
      <c r="M33108" t="s">
        <v>272</v>
      </c>
    </row>
    <row r="33129" spans="13:13" x14ac:dyDescent="0.25">
      <c r="M33129" t="s">
        <v>273</v>
      </c>
    </row>
    <row r="33130" spans="13:13" x14ac:dyDescent="0.25">
      <c r="M33130" t="s">
        <v>274</v>
      </c>
    </row>
    <row r="33133" spans="13:13" x14ac:dyDescent="0.25">
      <c r="M33133" t="s">
        <v>275</v>
      </c>
    </row>
    <row r="33134" spans="13:13" x14ac:dyDescent="0.25">
      <c r="M33134" t="s">
        <v>276</v>
      </c>
    </row>
    <row r="33135" spans="13:13" x14ac:dyDescent="0.25">
      <c r="M33135" t="s">
        <v>277</v>
      </c>
    </row>
    <row r="33140" spans="13:13" x14ac:dyDescent="0.25">
      <c r="M33140" t="s">
        <v>278</v>
      </c>
    </row>
    <row r="33141" spans="13:13" x14ac:dyDescent="0.25">
      <c r="M33141" t="s">
        <v>279</v>
      </c>
    </row>
    <row r="33157" spans="13:13" x14ac:dyDescent="0.25">
      <c r="M33157" t="s">
        <v>203</v>
      </c>
    </row>
    <row r="33158" spans="13:13" x14ac:dyDescent="0.25">
      <c r="M33158" t="s">
        <v>204</v>
      </c>
    </row>
    <row r="33159" spans="13:13" x14ac:dyDescent="0.25">
      <c r="M33159" t="s">
        <v>205</v>
      </c>
    </row>
    <row r="33160" spans="13:13" x14ac:dyDescent="0.25">
      <c r="M33160" t="s">
        <v>206</v>
      </c>
    </row>
    <row r="33161" spans="13:13" x14ac:dyDescent="0.25">
      <c r="M33161" t="s">
        <v>207</v>
      </c>
    </row>
    <row r="33162" spans="13:13" x14ac:dyDescent="0.25">
      <c r="M33162" t="s">
        <v>208</v>
      </c>
    </row>
    <row r="33163" spans="13:13" x14ac:dyDescent="0.25">
      <c r="M33163" t="s">
        <v>209</v>
      </c>
    </row>
    <row r="33164" spans="13:13" x14ac:dyDescent="0.25">
      <c r="M33164" t="s">
        <v>210</v>
      </c>
    </row>
    <row r="33184" spans="13:13" x14ac:dyDescent="0.25">
      <c r="M33184" t="s">
        <v>211</v>
      </c>
    </row>
    <row r="33185" spans="13:13" x14ac:dyDescent="0.25">
      <c r="M33185" t="s">
        <v>212</v>
      </c>
    </row>
    <row r="33186" spans="13:13" x14ac:dyDescent="0.25">
      <c r="M33186" t="s">
        <v>213</v>
      </c>
    </row>
    <row r="33187" spans="13:13" x14ac:dyDescent="0.25">
      <c r="M33187" t="s">
        <v>214</v>
      </c>
    </row>
    <row r="33188" spans="13:13" x14ac:dyDescent="0.25">
      <c r="M33188" t="s">
        <v>215</v>
      </c>
    </row>
    <row r="33189" spans="13:13" x14ac:dyDescent="0.25">
      <c r="M33189" t="s">
        <v>216</v>
      </c>
    </row>
    <row r="33190" spans="13:13" x14ac:dyDescent="0.25">
      <c r="M33190" t="s">
        <v>217</v>
      </c>
    </row>
    <row r="33191" spans="13:13" x14ac:dyDescent="0.25">
      <c r="M33191" t="s">
        <v>218</v>
      </c>
    </row>
    <row r="33192" spans="13:13" x14ac:dyDescent="0.25">
      <c r="M33192" t="s">
        <v>219</v>
      </c>
    </row>
    <row r="33193" spans="13:13" x14ac:dyDescent="0.25">
      <c r="M33193" t="s">
        <v>220</v>
      </c>
    </row>
    <row r="33197" spans="13:13" x14ac:dyDescent="0.25">
      <c r="M33197" t="s">
        <v>221</v>
      </c>
    </row>
    <row r="33198" spans="13:13" x14ac:dyDescent="0.25">
      <c r="M33198" t="s">
        <v>222</v>
      </c>
    </row>
    <row r="33199" spans="13:13" x14ac:dyDescent="0.25">
      <c r="M33199" t="s">
        <v>223</v>
      </c>
    </row>
    <row r="33200" spans="13:13" x14ac:dyDescent="0.25">
      <c r="M33200" t="s">
        <v>224</v>
      </c>
    </row>
    <row r="33201" spans="13:13" x14ac:dyDescent="0.25">
      <c r="M33201" t="s">
        <v>225</v>
      </c>
    </row>
    <row r="33202" spans="13:13" x14ac:dyDescent="0.25">
      <c r="M33202" t="s">
        <v>226</v>
      </c>
    </row>
    <row r="33203" spans="13:13" x14ac:dyDescent="0.25">
      <c r="M33203" t="s">
        <v>227</v>
      </c>
    </row>
    <row r="33204" spans="13:13" x14ac:dyDescent="0.25">
      <c r="M33204" t="s">
        <v>228</v>
      </c>
    </row>
    <row r="33205" spans="13:13" x14ac:dyDescent="0.25">
      <c r="M33205" t="s">
        <v>229</v>
      </c>
    </row>
    <row r="33206" spans="13:13" x14ac:dyDescent="0.25">
      <c r="M33206" t="s">
        <v>230</v>
      </c>
    </row>
    <row r="33207" spans="13:13" x14ac:dyDescent="0.25">
      <c r="M33207" t="s">
        <v>231</v>
      </c>
    </row>
    <row r="33208" spans="13:13" x14ac:dyDescent="0.25">
      <c r="M33208" t="s">
        <v>232</v>
      </c>
    </row>
    <row r="33209" spans="13:13" x14ac:dyDescent="0.25">
      <c r="M33209" t="s">
        <v>233</v>
      </c>
    </row>
    <row r="33210" spans="13:13" x14ac:dyDescent="0.25">
      <c r="M33210" t="s">
        <v>234</v>
      </c>
    </row>
    <row r="33211" spans="13:13" x14ac:dyDescent="0.25">
      <c r="M33211" t="s">
        <v>235</v>
      </c>
    </row>
    <row r="33212" spans="13:13" x14ac:dyDescent="0.25">
      <c r="M33212" t="s">
        <v>236</v>
      </c>
    </row>
    <row r="33213" spans="13:13" x14ac:dyDescent="0.25">
      <c r="M33213" t="s">
        <v>237</v>
      </c>
    </row>
    <row r="33214" spans="13:13" x14ac:dyDescent="0.25">
      <c r="M33214" t="s">
        <v>238</v>
      </c>
    </row>
    <row r="33215" spans="13:13" x14ac:dyDescent="0.25">
      <c r="M33215" t="s">
        <v>239</v>
      </c>
    </row>
    <row r="33216" spans="13:13" x14ac:dyDescent="0.25">
      <c r="M33216" t="s">
        <v>240</v>
      </c>
    </row>
    <row r="33217" spans="13:13" x14ac:dyDescent="0.25">
      <c r="M33217" t="s">
        <v>241</v>
      </c>
    </row>
    <row r="33218" spans="13:13" x14ac:dyDescent="0.25">
      <c r="M33218" t="s">
        <v>242</v>
      </c>
    </row>
    <row r="33219" spans="13:13" x14ac:dyDescent="0.25">
      <c r="M33219" t="s">
        <v>243</v>
      </c>
    </row>
    <row r="33220" spans="13:13" x14ac:dyDescent="0.25">
      <c r="M33220" t="s">
        <v>244</v>
      </c>
    </row>
    <row r="33221" spans="13:13" x14ac:dyDescent="0.25">
      <c r="M33221" t="s">
        <v>245</v>
      </c>
    </row>
    <row r="33222" spans="13:13" x14ac:dyDescent="0.25">
      <c r="M33222" t="s">
        <v>246</v>
      </c>
    </row>
    <row r="33223" spans="13:13" x14ac:dyDescent="0.25">
      <c r="M33223" t="s">
        <v>247</v>
      </c>
    </row>
    <row r="33224" spans="13:13" x14ac:dyDescent="0.25">
      <c r="M33224" t="s">
        <v>248</v>
      </c>
    </row>
    <row r="33225" spans="13:13" x14ac:dyDescent="0.25">
      <c r="M33225" t="s">
        <v>249</v>
      </c>
    </row>
    <row r="33226" spans="13:13" x14ac:dyDescent="0.25">
      <c r="M33226" t="s">
        <v>250</v>
      </c>
    </row>
    <row r="33227" spans="13:13" x14ac:dyDescent="0.25">
      <c r="M33227" t="s">
        <v>251</v>
      </c>
    </row>
    <row r="33228" spans="13:13" x14ac:dyDescent="0.25">
      <c r="M33228" t="s">
        <v>252</v>
      </c>
    </row>
    <row r="33229" spans="13:13" x14ac:dyDescent="0.25">
      <c r="M33229" t="s">
        <v>253</v>
      </c>
    </row>
    <row r="33239" spans="13:13" x14ac:dyDescent="0.25">
      <c r="M33239" t="s">
        <v>254</v>
      </c>
    </row>
    <row r="33240" spans="13:13" x14ac:dyDescent="0.25">
      <c r="M33240" t="s">
        <v>83</v>
      </c>
    </row>
    <row r="33254" spans="13:13" x14ac:dyDescent="0.25">
      <c r="M33254" t="s">
        <v>255</v>
      </c>
    </row>
    <row r="33255" spans="13:13" x14ac:dyDescent="0.25">
      <c r="M33255" t="s">
        <v>256</v>
      </c>
    </row>
    <row r="33256" spans="13:13" x14ac:dyDescent="0.25">
      <c r="M33256" t="s">
        <v>257</v>
      </c>
    </row>
    <row r="33257" spans="13:13" x14ac:dyDescent="0.25">
      <c r="M33257" t="s">
        <v>258</v>
      </c>
    </row>
    <row r="33258" spans="13:13" x14ac:dyDescent="0.25">
      <c r="M33258" t="s">
        <v>259</v>
      </c>
    </row>
    <row r="33259" spans="13:13" x14ac:dyDescent="0.25">
      <c r="M33259" t="s">
        <v>260</v>
      </c>
    </row>
    <row r="33260" spans="13:13" x14ac:dyDescent="0.25">
      <c r="M33260" t="s">
        <v>261</v>
      </c>
    </row>
    <row r="33261" spans="13:13" x14ac:dyDescent="0.25">
      <c r="M33261" t="s">
        <v>262</v>
      </c>
    </row>
    <row r="33262" spans="13:13" x14ac:dyDescent="0.25">
      <c r="M33262" t="s">
        <v>263</v>
      </c>
    </row>
    <row r="33313" spans="13:13" x14ac:dyDescent="0.25">
      <c r="M33313" t="s">
        <v>264</v>
      </c>
    </row>
    <row r="33314" spans="13:13" x14ac:dyDescent="0.25">
      <c r="M33314" t="s">
        <v>265</v>
      </c>
    </row>
    <row r="33315" spans="13:13" x14ac:dyDescent="0.25">
      <c r="M33315" t="s">
        <v>266</v>
      </c>
    </row>
    <row r="33364" spans="13:13" x14ac:dyDescent="0.25">
      <c r="M33364" t="s">
        <v>267</v>
      </c>
    </row>
    <row r="33365" spans="13:13" x14ac:dyDescent="0.25">
      <c r="M33365" t="s">
        <v>268</v>
      </c>
    </row>
    <row r="33366" spans="13:13" x14ac:dyDescent="0.25">
      <c r="M33366" t="s">
        <v>269</v>
      </c>
    </row>
    <row r="33367" spans="13:13" x14ac:dyDescent="0.25">
      <c r="M33367" t="s">
        <v>270</v>
      </c>
    </row>
    <row r="33368" spans="13:13" x14ac:dyDescent="0.25">
      <c r="M33368" t="s">
        <v>271</v>
      </c>
    </row>
    <row r="33369" spans="13:13" x14ac:dyDescent="0.25">
      <c r="M33369" t="s">
        <v>272</v>
      </c>
    </row>
    <row r="33390" spans="13:13" x14ac:dyDescent="0.25">
      <c r="M33390" t="s">
        <v>273</v>
      </c>
    </row>
    <row r="33391" spans="13:13" x14ac:dyDescent="0.25">
      <c r="M33391" t="s">
        <v>274</v>
      </c>
    </row>
    <row r="33394" spans="13:13" x14ac:dyDescent="0.25">
      <c r="M33394" t="s">
        <v>275</v>
      </c>
    </row>
    <row r="33395" spans="13:13" x14ac:dyDescent="0.25">
      <c r="M33395" t="s">
        <v>276</v>
      </c>
    </row>
    <row r="33396" spans="13:13" x14ac:dyDescent="0.25">
      <c r="M33396" t="s">
        <v>277</v>
      </c>
    </row>
    <row r="33401" spans="13:13" x14ac:dyDescent="0.25">
      <c r="M33401" t="s">
        <v>278</v>
      </c>
    </row>
    <row r="33402" spans="13:13" x14ac:dyDescent="0.25">
      <c r="M33402" t="s">
        <v>279</v>
      </c>
    </row>
    <row r="33418" spans="13:13" x14ac:dyDescent="0.25">
      <c r="M33418" t="s">
        <v>203</v>
      </c>
    </row>
    <row r="33419" spans="13:13" x14ac:dyDescent="0.25">
      <c r="M33419" t="s">
        <v>204</v>
      </c>
    </row>
    <row r="33420" spans="13:13" x14ac:dyDescent="0.25">
      <c r="M33420" t="s">
        <v>205</v>
      </c>
    </row>
    <row r="33421" spans="13:13" x14ac:dyDescent="0.25">
      <c r="M33421" t="s">
        <v>206</v>
      </c>
    </row>
    <row r="33422" spans="13:13" x14ac:dyDescent="0.25">
      <c r="M33422" t="s">
        <v>207</v>
      </c>
    </row>
    <row r="33423" spans="13:13" x14ac:dyDescent="0.25">
      <c r="M33423" t="s">
        <v>208</v>
      </c>
    </row>
    <row r="33424" spans="13:13" x14ac:dyDescent="0.25">
      <c r="M33424" t="s">
        <v>209</v>
      </c>
    </row>
    <row r="33425" spans="13:13" x14ac:dyDescent="0.25">
      <c r="M33425" t="s">
        <v>210</v>
      </c>
    </row>
    <row r="33445" spans="13:13" x14ac:dyDescent="0.25">
      <c r="M33445" t="s">
        <v>211</v>
      </c>
    </row>
    <row r="33446" spans="13:13" x14ac:dyDescent="0.25">
      <c r="M33446" t="s">
        <v>212</v>
      </c>
    </row>
    <row r="33447" spans="13:13" x14ac:dyDescent="0.25">
      <c r="M33447" t="s">
        <v>213</v>
      </c>
    </row>
    <row r="33448" spans="13:13" x14ac:dyDescent="0.25">
      <c r="M33448" t="s">
        <v>214</v>
      </c>
    </row>
    <row r="33449" spans="13:13" x14ac:dyDescent="0.25">
      <c r="M33449" t="s">
        <v>215</v>
      </c>
    </row>
    <row r="33450" spans="13:13" x14ac:dyDescent="0.25">
      <c r="M33450" t="s">
        <v>216</v>
      </c>
    </row>
    <row r="33451" spans="13:13" x14ac:dyDescent="0.25">
      <c r="M33451" t="s">
        <v>217</v>
      </c>
    </row>
    <row r="33452" spans="13:13" x14ac:dyDescent="0.25">
      <c r="M33452" t="s">
        <v>218</v>
      </c>
    </row>
    <row r="33453" spans="13:13" x14ac:dyDescent="0.25">
      <c r="M33453" t="s">
        <v>219</v>
      </c>
    </row>
    <row r="33454" spans="13:13" x14ac:dyDescent="0.25">
      <c r="M33454" t="s">
        <v>220</v>
      </c>
    </row>
    <row r="33458" spans="13:13" x14ac:dyDescent="0.25">
      <c r="M33458" t="s">
        <v>221</v>
      </c>
    </row>
    <row r="33459" spans="13:13" x14ac:dyDescent="0.25">
      <c r="M33459" t="s">
        <v>222</v>
      </c>
    </row>
    <row r="33460" spans="13:13" x14ac:dyDescent="0.25">
      <c r="M33460" t="s">
        <v>223</v>
      </c>
    </row>
    <row r="33461" spans="13:13" x14ac:dyDescent="0.25">
      <c r="M33461" t="s">
        <v>224</v>
      </c>
    </row>
    <row r="33462" spans="13:13" x14ac:dyDescent="0.25">
      <c r="M33462" t="s">
        <v>225</v>
      </c>
    </row>
    <row r="33463" spans="13:13" x14ac:dyDescent="0.25">
      <c r="M33463" t="s">
        <v>226</v>
      </c>
    </row>
    <row r="33464" spans="13:13" x14ac:dyDescent="0.25">
      <c r="M33464" t="s">
        <v>227</v>
      </c>
    </row>
    <row r="33465" spans="13:13" x14ac:dyDescent="0.25">
      <c r="M33465" t="s">
        <v>228</v>
      </c>
    </row>
    <row r="33466" spans="13:13" x14ac:dyDescent="0.25">
      <c r="M33466" t="s">
        <v>229</v>
      </c>
    </row>
    <row r="33467" spans="13:13" x14ac:dyDescent="0.25">
      <c r="M33467" t="s">
        <v>230</v>
      </c>
    </row>
    <row r="33468" spans="13:13" x14ac:dyDescent="0.25">
      <c r="M33468" t="s">
        <v>231</v>
      </c>
    </row>
    <row r="33469" spans="13:13" x14ac:dyDescent="0.25">
      <c r="M33469" t="s">
        <v>232</v>
      </c>
    </row>
    <row r="33470" spans="13:13" x14ac:dyDescent="0.25">
      <c r="M33470" t="s">
        <v>233</v>
      </c>
    </row>
    <row r="33471" spans="13:13" x14ac:dyDescent="0.25">
      <c r="M33471" t="s">
        <v>234</v>
      </c>
    </row>
    <row r="33472" spans="13:13" x14ac:dyDescent="0.25">
      <c r="M33472" t="s">
        <v>235</v>
      </c>
    </row>
    <row r="33473" spans="13:13" x14ac:dyDescent="0.25">
      <c r="M33473" t="s">
        <v>236</v>
      </c>
    </row>
    <row r="33474" spans="13:13" x14ac:dyDescent="0.25">
      <c r="M33474" t="s">
        <v>237</v>
      </c>
    </row>
    <row r="33475" spans="13:13" x14ac:dyDescent="0.25">
      <c r="M33475" t="s">
        <v>238</v>
      </c>
    </row>
    <row r="33476" spans="13:13" x14ac:dyDescent="0.25">
      <c r="M33476" t="s">
        <v>239</v>
      </c>
    </row>
    <row r="33477" spans="13:13" x14ac:dyDescent="0.25">
      <c r="M33477" t="s">
        <v>240</v>
      </c>
    </row>
    <row r="33478" spans="13:13" x14ac:dyDescent="0.25">
      <c r="M33478" t="s">
        <v>241</v>
      </c>
    </row>
    <row r="33479" spans="13:13" x14ac:dyDescent="0.25">
      <c r="M33479" t="s">
        <v>242</v>
      </c>
    </row>
    <row r="33480" spans="13:13" x14ac:dyDescent="0.25">
      <c r="M33480" t="s">
        <v>243</v>
      </c>
    </row>
    <row r="33481" spans="13:13" x14ac:dyDescent="0.25">
      <c r="M33481" t="s">
        <v>244</v>
      </c>
    </row>
    <row r="33482" spans="13:13" x14ac:dyDescent="0.25">
      <c r="M33482" t="s">
        <v>245</v>
      </c>
    </row>
    <row r="33483" spans="13:13" x14ac:dyDescent="0.25">
      <c r="M33483" t="s">
        <v>246</v>
      </c>
    </row>
    <row r="33484" spans="13:13" x14ac:dyDescent="0.25">
      <c r="M33484" t="s">
        <v>247</v>
      </c>
    </row>
    <row r="33485" spans="13:13" x14ac:dyDescent="0.25">
      <c r="M33485" t="s">
        <v>248</v>
      </c>
    </row>
    <row r="33486" spans="13:13" x14ac:dyDescent="0.25">
      <c r="M33486" t="s">
        <v>249</v>
      </c>
    </row>
    <row r="33487" spans="13:13" x14ac:dyDescent="0.25">
      <c r="M33487" t="s">
        <v>250</v>
      </c>
    </row>
    <row r="33488" spans="13:13" x14ac:dyDescent="0.25">
      <c r="M33488" t="s">
        <v>251</v>
      </c>
    </row>
    <row r="33489" spans="13:13" x14ac:dyDescent="0.25">
      <c r="M33489" t="s">
        <v>252</v>
      </c>
    </row>
    <row r="33490" spans="13:13" x14ac:dyDescent="0.25">
      <c r="M33490" t="s">
        <v>253</v>
      </c>
    </row>
    <row r="33500" spans="13:13" x14ac:dyDescent="0.25">
      <c r="M33500" t="s">
        <v>254</v>
      </c>
    </row>
    <row r="33501" spans="13:13" x14ac:dyDescent="0.25">
      <c r="M33501" t="s">
        <v>83</v>
      </c>
    </row>
    <row r="33515" spans="13:13" x14ac:dyDescent="0.25">
      <c r="M33515" t="s">
        <v>255</v>
      </c>
    </row>
    <row r="33516" spans="13:13" x14ac:dyDescent="0.25">
      <c r="M33516" t="s">
        <v>256</v>
      </c>
    </row>
    <row r="33517" spans="13:13" x14ac:dyDescent="0.25">
      <c r="M33517" t="s">
        <v>257</v>
      </c>
    </row>
    <row r="33518" spans="13:13" x14ac:dyDescent="0.25">
      <c r="M33518" t="s">
        <v>258</v>
      </c>
    </row>
    <row r="33519" spans="13:13" x14ac:dyDescent="0.25">
      <c r="M33519" t="s">
        <v>259</v>
      </c>
    </row>
    <row r="33520" spans="13:13" x14ac:dyDescent="0.25">
      <c r="M33520" t="s">
        <v>260</v>
      </c>
    </row>
    <row r="33521" spans="13:13" x14ac:dyDescent="0.25">
      <c r="M33521" t="s">
        <v>261</v>
      </c>
    </row>
    <row r="33522" spans="13:13" x14ac:dyDescent="0.25">
      <c r="M33522" t="s">
        <v>262</v>
      </c>
    </row>
    <row r="33523" spans="13:13" x14ac:dyDescent="0.25">
      <c r="M33523" t="s">
        <v>263</v>
      </c>
    </row>
    <row r="33574" spans="13:13" x14ac:dyDescent="0.25">
      <c r="M33574" t="s">
        <v>264</v>
      </c>
    </row>
    <row r="33575" spans="13:13" x14ac:dyDescent="0.25">
      <c r="M33575" t="s">
        <v>265</v>
      </c>
    </row>
    <row r="33576" spans="13:13" x14ac:dyDescent="0.25">
      <c r="M33576" t="s">
        <v>266</v>
      </c>
    </row>
    <row r="33625" spans="13:13" x14ac:dyDescent="0.25">
      <c r="M33625" t="s">
        <v>267</v>
      </c>
    </row>
    <row r="33626" spans="13:13" x14ac:dyDescent="0.25">
      <c r="M33626" t="s">
        <v>268</v>
      </c>
    </row>
    <row r="33627" spans="13:13" x14ac:dyDescent="0.25">
      <c r="M33627" t="s">
        <v>269</v>
      </c>
    </row>
    <row r="33628" spans="13:13" x14ac:dyDescent="0.25">
      <c r="M33628" t="s">
        <v>270</v>
      </c>
    </row>
    <row r="33629" spans="13:13" x14ac:dyDescent="0.25">
      <c r="M33629" t="s">
        <v>271</v>
      </c>
    </row>
    <row r="33630" spans="13:13" x14ac:dyDescent="0.25">
      <c r="M33630" t="s">
        <v>272</v>
      </c>
    </row>
    <row r="33651" spans="13:13" x14ac:dyDescent="0.25">
      <c r="M33651" t="s">
        <v>273</v>
      </c>
    </row>
    <row r="33652" spans="13:13" x14ac:dyDescent="0.25">
      <c r="M33652" t="s">
        <v>274</v>
      </c>
    </row>
    <row r="33655" spans="13:13" x14ac:dyDescent="0.25">
      <c r="M33655" t="s">
        <v>275</v>
      </c>
    </row>
    <row r="33656" spans="13:13" x14ac:dyDescent="0.25">
      <c r="M33656" t="s">
        <v>276</v>
      </c>
    </row>
    <row r="33657" spans="13:13" x14ac:dyDescent="0.25">
      <c r="M33657" t="s">
        <v>277</v>
      </c>
    </row>
    <row r="33662" spans="13:13" x14ac:dyDescent="0.25">
      <c r="M33662" t="s">
        <v>278</v>
      </c>
    </row>
    <row r="33663" spans="13:13" x14ac:dyDescent="0.25">
      <c r="M33663" t="s">
        <v>279</v>
      </c>
    </row>
    <row r="33679" spans="13:13" x14ac:dyDescent="0.25">
      <c r="M33679" t="s">
        <v>203</v>
      </c>
    </row>
    <row r="33680" spans="13:13" x14ac:dyDescent="0.25">
      <c r="M33680" t="s">
        <v>204</v>
      </c>
    </row>
    <row r="33681" spans="13:13" x14ac:dyDescent="0.25">
      <c r="M33681" t="s">
        <v>205</v>
      </c>
    </row>
    <row r="33682" spans="13:13" x14ac:dyDescent="0.25">
      <c r="M33682" t="s">
        <v>206</v>
      </c>
    </row>
    <row r="33683" spans="13:13" x14ac:dyDescent="0.25">
      <c r="M33683" t="s">
        <v>207</v>
      </c>
    </row>
    <row r="33684" spans="13:13" x14ac:dyDescent="0.25">
      <c r="M33684" t="s">
        <v>208</v>
      </c>
    </row>
    <row r="33685" spans="13:13" x14ac:dyDescent="0.25">
      <c r="M33685" t="s">
        <v>209</v>
      </c>
    </row>
    <row r="33686" spans="13:13" x14ac:dyDescent="0.25">
      <c r="M33686" t="s">
        <v>210</v>
      </c>
    </row>
    <row r="33706" spans="13:13" x14ac:dyDescent="0.25">
      <c r="M33706" t="s">
        <v>211</v>
      </c>
    </row>
    <row r="33707" spans="13:13" x14ac:dyDescent="0.25">
      <c r="M33707" t="s">
        <v>212</v>
      </c>
    </row>
    <row r="33708" spans="13:13" x14ac:dyDescent="0.25">
      <c r="M33708" t="s">
        <v>213</v>
      </c>
    </row>
    <row r="33709" spans="13:13" x14ac:dyDescent="0.25">
      <c r="M33709" t="s">
        <v>214</v>
      </c>
    </row>
    <row r="33710" spans="13:13" x14ac:dyDescent="0.25">
      <c r="M33710" t="s">
        <v>215</v>
      </c>
    </row>
    <row r="33711" spans="13:13" x14ac:dyDescent="0.25">
      <c r="M33711" t="s">
        <v>216</v>
      </c>
    </row>
    <row r="33712" spans="13:13" x14ac:dyDescent="0.25">
      <c r="M33712" t="s">
        <v>217</v>
      </c>
    </row>
    <row r="33713" spans="13:13" x14ac:dyDescent="0.25">
      <c r="M33713" t="s">
        <v>218</v>
      </c>
    </row>
    <row r="33714" spans="13:13" x14ac:dyDescent="0.25">
      <c r="M33714" t="s">
        <v>219</v>
      </c>
    </row>
    <row r="33715" spans="13:13" x14ac:dyDescent="0.25">
      <c r="M33715" t="s">
        <v>220</v>
      </c>
    </row>
    <row r="33719" spans="13:13" x14ac:dyDescent="0.25">
      <c r="M33719" t="s">
        <v>221</v>
      </c>
    </row>
    <row r="33720" spans="13:13" x14ac:dyDescent="0.25">
      <c r="M33720" t="s">
        <v>222</v>
      </c>
    </row>
    <row r="33721" spans="13:13" x14ac:dyDescent="0.25">
      <c r="M33721" t="s">
        <v>223</v>
      </c>
    </row>
    <row r="33722" spans="13:13" x14ac:dyDescent="0.25">
      <c r="M33722" t="s">
        <v>224</v>
      </c>
    </row>
    <row r="33723" spans="13:13" x14ac:dyDescent="0.25">
      <c r="M33723" t="s">
        <v>225</v>
      </c>
    </row>
    <row r="33724" spans="13:13" x14ac:dyDescent="0.25">
      <c r="M33724" t="s">
        <v>226</v>
      </c>
    </row>
    <row r="33725" spans="13:13" x14ac:dyDescent="0.25">
      <c r="M33725" t="s">
        <v>227</v>
      </c>
    </row>
    <row r="33726" spans="13:13" x14ac:dyDescent="0.25">
      <c r="M33726" t="s">
        <v>228</v>
      </c>
    </row>
    <row r="33727" spans="13:13" x14ac:dyDescent="0.25">
      <c r="M33727" t="s">
        <v>229</v>
      </c>
    </row>
    <row r="33728" spans="13:13" x14ac:dyDescent="0.25">
      <c r="M33728" t="s">
        <v>230</v>
      </c>
    </row>
    <row r="33729" spans="13:13" x14ac:dyDescent="0.25">
      <c r="M33729" t="s">
        <v>231</v>
      </c>
    </row>
    <row r="33730" spans="13:13" x14ac:dyDescent="0.25">
      <c r="M33730" t="s">
        <v>232</v>
      </c>
    </row>
    <row r="33731" spans="13:13" x14ac:dyDescent="0.25">
      <c r="M33731" t="s">
        <v>233</v>
      </c>
    </row>
    <row r="33732" spans="13:13" x14ac:dyDescent="0.25">
      <c r="M33732" t="s">
        <v>234</v>
      </c>
    </row>
    <row r="33733" spans="13:13" x14ac:dyDescent="0.25">
      <c r="M33733" t="s">
        <v>235</v>
      </c>
    </row>
    <row r="33734" spans="13:13" x14ac:dyDescent="0.25">
      <c r="M33734" t="s">
        <v>236</v>
      </c>
    </row>
    <row r="33735" spans="13:13" x14ac:dyDescent="0.25">
      <c r="M33735" t="s">
        <v>237</v>
      </c>
    </row>
    <row r="33736" spans="13:13" x14ac:dyDescent="0.25">
      <c r="M33736" t="s">
        <v>238</v>
      </c>
    </row>
    <row r="33737" spans="13:13" x14ac:dyDescent="0.25">
      <c r="M33737" t="s">
        <v>239</v>
      </c>
    </row>
    <row r="33738" spans="13:13" x14ac:dyDescent="0.25">
      <c r="M33738" t="s">
        <v>240</v>
      </c>
    </row>
    <row r="33739" spans="13:13" x14ac:dyDescent="0.25">
      <c r="M33739" t="s">
        <v>241</v>
      </c>
    </row>
    <row r="33740" spans="13:13" x14ac:dyDescent="0.25">
      <c r="M33740" t="s">
        <v>242</v>
      </c>
    </row>
    <row r="33741" spans="13:13" x14ac:dyDescent="0.25">
      <c r="M33741" t="s">
        <v>243</v>
      </c>
    </row>
    <row r="33742" spans="13:13" x14ac:dyDescent="0.25">
      <c r="M33742" t="s">
        <v>244</v>
      </c>
    </row>
    <row r="33743" spans="13:13" x14ac:dyDescent="0.25">
      <c r="M33743" t="s">
        <v>245</v>
      </c>
    </row>
    <row r="33744" spans="13:13" x14ac:dyDescent="0.25">
      <c r="M33744" t="s">
        <v>246</v>
      </c>
    </row>
    <row r="33745" spans="13:13" x14ac:dyDescent="0.25">
      <c r="M33745" t="s">
        <v>247</v>
      </c>
    </row>
    <row r="33746" spans="13:13" x14ac:dyDescent="0.25">
      <c r="M33746" t="s">
        <v>248</v>
      </c>
    </row>
    <row r="33747" spans="13:13" x14ac:dyDescent="0.25">
      <c r="M33747" t="s">
        <v>249</v>
      </c>
    </row>
    <row r="33748" spans="13:13" x14ac:dyDescent="0.25">
      <c r="M33748" t="s">
        <v>250</v>
      </c>
    </row>
    <row r="33749" spans="13:13" x14ac:dyDescent="0.25">
      <c r="M33749" t="s">
        <v>251</v>
      </c>
    </row>
    <row r="33750" spans="13:13" x14ac:dyDescent="0.25">
      <c r="M33750" t="s">
        <v>252</v>
      </c>
    </row>
    <row r="33751" spans="13:13" x14ac:dyDescent="0.25">
      <c r="M33751" t="s">
        <v>253</v>
      </c>
    </row>
    <row r="33761" spans="13:13" x14ac:dyDescent="0.25">
      <c r="M33761" t="s">
        <v>254</v>
      </c>
    </row>
    <row r="33762" spans="13:13" x14ac:dyDescent="0.25">
      <c r="M33762" t="s">
        <v>83</v>
      </c>
    </row>
    <row r="33776" spans="13:13" x14ac:dyDescent="0.25">
      <c r="M33776" t="s">
        <v>255</v>
      </c>
    </row>
    <row r="33777" spans="13:13" x14ac:dyDescent="0.25">
      <c r="M33777" t="s">
        <v>256</v>
      </c>
    </row>
    <row r="33778" spans="13:13" x14ac:dyDescent="0.25">
      <c r="M33778" t="s">
        <v>257</v>
      </c>
    </row>
    <row r="33779" spans="13:13" x14ac:dyDescent="0.25">
      <c r="M33779" t="s">
        <v>258</v>
      </c>
    </row>
    <row r="33780" spans="13:13" x14ac:dyDescent="0.25">
      <c r="M33780" t="s">
        <v>259</v>
      </c>
    </row>
    <row r="33781" spans="13:13" x14ac:dyDescent="0.25">
      <c r="M33781" t="s">
        <v>260</v>
      </c>
    </row>
    <row r="33782" spans="13:13" x14ac:dyDescent="0.25">
      <c r="M33782" t="s">
        <v>261</v>
      </c>
    </row>
    <row r="33783" spans="13:13" x14ac:dyDescent="0.25">
      <c r="M33783" t="s">
        <v>262</v>
      </c>
    </row>
    <row r="33784" spans="13:13" x14ac:dyDescent="0.25">
      <c r="M33784" t="s">
        <v>263</v>
      </c>
    </row>
    <row r="33835" spans="13:13" x14ac:dyDescent="0.25">
      <c r="M33835" t="s">
        <v>264</v>
      </c>
    </row>
    <row r="33836" spans="13:13" x14ac:dyDescent="0.25">
      <c r="M33836" t="s">
        <v>265</v>
      </c>
    </row>
    <row r="33837" spans="13:13" x14ac:dyDescent="0.25">
      <c r="M33837" t="s">
        <v>266</v>
      </c>
    </row>
    <row r="33886" spans="13:13" x14ac:dyDescent="0.25">
      <c r="M33886" t="s">
        <v>267</v>
      </c>
    </row>
    <row r="33887" spans="13:13" x14ac:dyDescent="0.25">
      <c r="M33887" t="s">
        <v>268</v>
      </c>
    </row>
    <row r="33888" spans="13:13" x14ac:dyDescent="0.25">
      <c r="M33888" t="s">
        <v>269</v>
      </c>
    </row>
    <row r="33889" spans="13:13" x14ac:dyDescent="0.25">
      <c r="M33889" t="s">
        <v>270</v>
      </c>
    </row>
    <row r="33890" spans="13:13" x14ac:dyDescent="0.25">
      <c r="M33890" t="s">
        <v>271</v>
      </c>
    </row>
    <row r="33891" spans="13:13" x14ac:dyDescent="0.25">
      <c r="M33891" t="s">
        <v>272</v>
      </c>
    </row>
    <row r="33912" spans="13:13" x14ac:dyDescent="0.25">
      <c r="M33912" t="s">
        <v>273</v>
      </c>
    </row>
    <row r="33913" spans="13:13" x14ac:dyDescent="0.25">
      <c r="M33913" t="s">
        <v>274</v>
      </c>
    </row>
    <row r="33916" spans="13:13" x14ac:dyDescent="0.25">
      <c r="M33916" t="s">
        <v>275</v>
      </c>
    </row>
    <row r="33917" spans="13:13" x14ac:dyDescent="0.25">
      <c r="M33917" t="s">
        <v>276</v>
      </c>
    </row>
    <row r="33918" spans="13:13" x14ac:dyDescent="0.25">
      <c r="M33918" t="s">
        <v>277</v>
      </c>
    </row>
    <row r="33923" spans="13:13" x14ac:dyDescent="0.25">
      <c r="M33923" t="s">
        <v>278</v>
      </c>
    </row>
    <row r="33924" spans="13:13" x14ac:dyDescent="0.25">
      <c r="M33924" t="s">
        <v>279</v>
      </c>
    </row>
    <row r="33940" spans="13:13" x14ac:dyDescent="0.25">
      <c r="M33940" t="s">
        <v>203</v>
      </c>
    </row>
    <row r="33941" spans="13:13" x14ac:dyDescent="0.25">
      <c r="M33941" t="s">
        <v>204</v>
      </c>
    </row>
    <row r="33942" spans="13:13" x14ac:dyDescent="0.25">
      <c r="M33942" t="s">
        <v>205</v>
      </c>
    </row>
    <row r="33943" spans="13:13" x14ac:dyDescent="0.25">
      <c r="M33943" t="s">
        <v>206</v>
      </c>
    </row>
    <row r="33944" spans="13:13" x14ac:dyDescent="0.25">
      <c r="M33944" t="s">
        <v>207</v>
      </c>
    </row>
    <row r="33945" spans="13:13" x14ac:dyDescent="0.25">
      <c r="M33945" t="s">
        <v>208</v>
      </c>
    </row>
    <row r="33946" spans="13:13" x14ac:dyDescent="0.25">
      <c r="M33946" t="s">
        <v>209</v>
      </c>
    </row>
    <row r="33947" spans="13:13" x14ac:dyDescent="0.25">
      <c r="M33947" t="s">
        <v>210</v>
      </c>
    </row>
    <row r="33967" spans="13:13" x14ac:dyDescent="0.25">
      <c r="M33967" t="s">
        <v>211</v>
      </c>
    </row>
    <row r="33968" spans="13:13" x14ac:dyDescent="0.25">
      <c r="M33968" t="s">
        <v>212</v>
      </c>
    </row>
    <row r="33969" spans="13:13" x14ac:dyDescent="0.25">
      <c r="M33969" t="s">
        <v>213</v>
      </c>
    </row>
    <row r="33970" spans="13:13" x14ac:dyDescent="0.25">
      <c r="M33970" t="s">
        <v>214</v>
      </c>
    </row>
    <row r="33971" spans="13:13" x14ac:dyDescent="0.25">
      <c r="M33971" t="s">
        <v>215</v>
      </c>
    </row>
    <row r="33972" spans="13:13" x14ac:dyDescent="0.25">
      <c r="M33972" t="s">
        <v>216</v>
      </c>
    </row>
    <row r="33973" spans="13:13" x14ac:dyDescent="0.25">
      <c r="M33973" t="s">
        <v>217</v>
      </c>
    </row>
    <row r="33974" spans="13:13" x14ac:dyDescent="0.25">
      <c r="M33974" t="s">
        <v>218</v>
      </c>
    </row>
    <row r="33975" spans="13:13" x14ac:dyDescent="0.25">
      <c r="M33975" t="s">
        <v>219</v>
      </c>
    </row>
    <row r="33976" spans="13:13" x14ac:dyDescent="0.25">
      <c r="M33976" t="s">
        <v>220</v>
      </c>
    </row>
    <row r="33980" spans="13:13" x14ac:dyDescent="0.25">
      <c r="M33980" t="s">
        <v>221</v>
      </c>
    </row>
    <row r="33981" spans="13:13" x14ac:dyDescent="0.25">
      <c r="M33981" t="s">
        <v>222</v>
      </c>
    </row>
    <row r="33982" spans="13:13" x14ac:dyDescent="0.25">
      <c r="M33982" t="s">
        <v>223</v>
      </c>
    </row>
    <row r="33983" spans="13:13" x14ac:dyDescent="0.25">
      <c r="M33983" t="s">
        <v>224</v>
      </c>
    </row>
    <row r="33984" spans="13:13" x14ac:dyDescent="0.25">
      <c r="M33984" t="s">
        <v>225</v>
      </c>
    </row>
    <row r="33985" spans="13:13" x14ac:dyDescent="0.25">
      <c r="M33985" t="s">
        <v>226</v>
      </c>
    </row>
    <row r="33986" spans="13:13" x14ac:dyDescent="0.25">
      <c r="M33986" t="s">
        <v>227</v>
      </c>
    </row>
    <row r="33987" spans="13:13" x14ac:dyDescent="0.25">
      <c r="M33987" t="s">
        <v>228</v>
      </c>
    </row>
    <row r="33988" spans="13:13" x14ac:dyDescent="0.25">
      <c r="M33988" t="s">
        <v>229</v>
      </c>
    </row>
    <row r="33989" spans="13:13" x14ac:dyDescent="0.25">
      <c r="M33989" t="s">
        <v>230</v>
      </c>
    </row>
    <row r="33990" spans="13:13" x14ac:dyDescent="0.25">
      <c r="M33990" t="s">
        <v>231</v>
      </c>
    </row>
    <row r="33991" spans="13:13" x14ac:dyDescent="0.25">
      <c r="M33991" t="s">
        <v>232</v>
      </c>
    </row>
    <row r="33992" spans="13:13" x14ac:dyDescent="0.25">
      <c r="M33992" t="s">
        <v>233</v>
      </c>
    </row>
    <row r="33993" spans="13:13" x14ac:dyDescent="0.25">
      <c r="M33993" t="s">
        <v>234</v>
      </c>
    </row>
    <row r="33994" spans="13:13" x14ac:dyDescent="0.25">
      <c r="M33994" t="s">
        <v>235</v>
      </c>
    </row>
    <row r="33995" spans="13:13" x14ac:dyDescent="0.25">
      <c r="M33995" t="s">
        <v>236</v>
      </c>
    </row>
    <row r="33996" spans="13:13" x14ac:dyDescent="0.25">
      <c r="M33996" t="s">
        <v>237</v>
      </c>
    </row>
    <row r="33997" spans="13:13" x14ac:dyDescent="0.25">
      <c r="M33997" t="s">
        <v>238</v>
      </c>
    </row>
    <row r="33998" spans="13:13" x14ac:dyDescent="0.25">
      <c r="M33998" t="s">
        <v>239</v>
      </c>
    </row>
    <row r="33999" spans="13:13" x14ac:dyDescent="0.25">
      <c r="M33999" t="s">
        <v>240</v>
      </c>
    </row>
    <row r="34000" spans="13:13" x14ac:dyDescent="0.25">
      <c r="M34000" t="s">
        <v>241</v>
      </c>
    </row>
    <row r="34001" spans="13:13" x14ac:dyDescent="0.25">
      <c r="M34001" t="s">
        <v>242</v>
      </c>
    </row>
    <row r="34002" spans="13:13" x14ac:dyDescent="0.25">
      <c r="M34002" t="s">
        <v>243</v>
      </c>
    </row>
    <row r="34003" spans="13:13" x14ac:dyDescent="0.25">
      <c r="M34003" t="s">
        <v>244</v>
      </c>
    </row>
    <row r="34004" spans="13:13" x14ac:dyDescent="0.25">
      <c r="M34004" t="s">
        <v>245</v>
      </c>
    </row>
    <row r="34005" spans="13:13" x14ac:dyDescent="0.25">
      <c r="M34005" t="s">
        <v>246</v>
      </c>
    </row>
    <row r="34006" spans="13:13" x14ac:dyDescent="0.25">
      <c r="M34006" t="s">
        <v>247</v>
      </c>
    </row>
    <row r="34007" spans="13:13" x14ac:dyDescent="0.25">
      <c r="M34007" t="s">
        <v>248</v>
      </c>
    </row>
    <row r="34008" spans="13:13" x14ac:dyDescent="0.25">
      <c r="M34008" t="s">
        <v>249</v>
      </c>
    </row>
    <row r="34009" spans="13:13" x14ac:dyDescent="0.25">
      <c r="M34009" t="s">
        <v>250</v>
      </c>
    </row>
    <row r="34010" spans="13:13" x14ac:dyDescent="0.25">
      <c r="M34010" t="s">
        <v>251</v>
      </c>
    </row>
    <row r="34011" spans="13:13" x14ac:dyDescent="0.25">
      <c r="M34011" t="s">
        <v>252</v>
      </c>
    </row>
    <row r="34012" spans="13:13" x14ac:dyDescent="0.25">
      <c r="M34012" t="s">
        <v>253</v>
      </c>
    </row>
    <row r="34022" spans="13:13" x14ac:dyDescent="0.25">
      <c r="M34022" t="s">
        <v>254</v>
      </c>
    </row>
    <row r="34023" spans="13:13" x14ac:dyDescent="0.25">
      <c r="M34023" t="s">
        <v>83</v>
      </c>
    </row>
    <row r="34037" spans="13:13" x14ac:dyDescent="0.25">
      <c r="M34037" t="s">
        <v>255</v>
      </c>
    </row>
    <row r="34038" spans="13:13" x14ac:dyDescent="0.25">
      <c r="M34038" t="s">
        <v>256</v>
      </c>
    </row>
    <row r="34039" spans="13:13" x14ac:dyDescent="0.25">
      <c r="M34039" t="s">
        <v>257</v>
      </c>
    </row>
    <row r="34040" spans="13:13" x14ac:dyDescent="0.25">
      <c r="M34040" t="s">
        <v>258</v>
      </c>
    </row>
    <row r="34041" spans="13:13" x14ac:dyDescent="0.25">
      <c r="M34041" t="s">
        <v>259</v>
      </c>
    </row>
    <row r="34042" spans="13:13" x14ac:dyDescent="0.25">
      <c r="M34042" t="s">
        <v>260</v>
      </c>
    </row>
    <row r="34043" spans="13:13" x14ac:dyDescent="0.25">
      <c r="M34043" t="s">
        <v>261</v>
      </c>
    </row>
    <row r="34044" spans="13:13" x14ac:dyDescent="0.25">
      <c r="M34044" t="s">
        <v>262</v>
      </c>
    </row>
    <row r="34045" spans="13:13" x14ac:dyDescent="0.25">
      <c r="M34045" t="s">
        <v>263</v>
      </c>
    </row>
    <row r="34096" spans="13:13" x14ac:dyDescent="0.25">
      <c r="M34096" t="s">
        <v>264</v>
      </c>
    </row>
    <row r="34097" spans="13:13" x14ac:dyDescent="0.25">
      <c r="M34097" t="s">
        <v>265</v>
      </c>
    </row>
    <row r="34098" spans="13:13" x14ac:dyDescent="0.25">
      <c r="M34098" t="s">
        <v>266</v>
      </c>
    </row>
    <row r="34147" spans="13:13" x14ac:dyDescent="0.25">
      <c r="M34147" t="s">
        <v>267</v>
      </c>
    </row>
    <row r="34148" spans="13:13" x14ac:dyDescent="0.25">
      <c r="M34148" t="s">
        <v>268</v>
      </c>
    </row>
    <row r="34149" spans="13:13" x14ac:dyDescent="0.25">
      <c r="M34149" t="s">
        <v>269</v>
      </c>
    </row>
    <row r="34150" spans="13:13" x14ac:dyDescent="0.25">
      <c r="M34150" t="s">
        <v>270</v>
      </c>
    </row>
    <row r="34151" spans="13:13" x14ac:dyDescent="0.25">
      <c r="M34151" t="s">
        <v>271</v>
      </c>
    </row>
    <row r="34152" spans="13:13" x14ac:dyDescent="0.25">
      <c r="M34152" t="s">
        <v>272</v>
      </c>
    </row>
    <row r="34173" spans="13:13" x14ac:dyDescent="0.25">
      <c r="M34173" t="s">
        <v>273</v>
      </c>
    </row>
    <row r="34174" spans="13:13" x14ac:dyDescent="0.25">
      <c r="M34174" t="s">
        <v>274</v>
      </c>
    </row>
    <row r="34177" spans="13:13" x14ac:dyDescent="0.25">
      <c r="M34177" t="s">
        <v>275</v>
      </c>
    </row>
    <row r="34178" spans="13:13" x14ac:dyDescent="0.25">
      <c r="M34178" t="s">
        <v>276</v>
      </c>
    </row>
    <row r="34179" spans="13:13" x14ac:dyDescent="0.25">
      <c r="M34179" t="s">
        <v>277</v>
      </c>
    </row>
    <row r="34184" spans="13:13" x14ac:dyDescent="0.25">
      <c r="M34184" t="s">
        <v>278</v>
      </c>
    </row>
    <row r="34185" spans="13:13" x14ac:dyDescent="0.25">
      <c r="M34185" t="s">
        <v>279</v>
      </c>
    </row>
    <row r="34201" spans="13:13" x14ac:dyDescent="0.25">
      <c r="M34201" t="s">
        <v>203</v>
      </c>
    </row>
    <row r="34202" spans="13:13" x14ac:dyDescent="0.25">
      <c r="M34202" t="s">
        <v>204</v>
      </c>
    </row>
    <row r="34203" spans="13:13" x14ac:dyDescent="0.25">
      <c r="M34203" t="s">
        <v>205</v>
      </c>
    </row>
    <row r="34204" spans="13:13" x14ac:dyDescent="0.25">
      <c r="M34204" t="s">
        <v>206</v>
      </c>
    </row>
    <row r="34205" spans="13:13" x14ac:dyDescent="0.25">
      <c r="M34205" t="s">
        <v>207</v>
      </c>
    </row>
    <row r="34206" spans="13:13" x14ac:dyDescent="0.25">
      <c r="M34206" t="s">
        <v>208</v>
      </c>
    </row>
    <row r="34207" spans="13:13" x14ac:dyDescent="0.25">
      <c r="M34207" t="s">
        <v>209</v>
      </c>
    </row>
    <row r="34208" spans="13:13" x14ac:dyDescent="0.25">
      <c r="M34208" t="s">
        <v>210</v>
      </c>
    </row>
    <row r="34228" spans="13:13" x14ac:dyDescent="0.25">
      <c r="M34228" t="s">
        <v>211</v>
      </c>
    </row>
    <row r="34229" spans="13:13" x14ac:dyDescent="0.25">
      <c r="M34229" t="s">
        <v>212</v>
      </c>
    </row>
    <row r="34230" spans="13:13" x14ac:dyDescent="0.25">
      <c r="M34230" t="s">
        <v>213</v>
      </c>
    </row>
    <row r="34231" spans="13:13" x14ac:dyDescent="0.25">
      <c r="M34231" t="s">
        <v>214</v>
      </c>
    </row>
    <row r="34232" spans="13:13" x14ac:dyDescent="0.25">
      <c r="M34232" t="s">
        <v>215</v>
      </c>
    </row>
    <row r="34233" spans="13:13" x14ac:dyDescent="0.25">
      <c r="M34233" t="s">
        <v>216</v>
      </c>
    </row>
    <row r="34234" spans="13:13" x14ac:dyDescent="0.25">
      <c r="M34234" t="s">
        <v>217</v>
      </c>
    </row>
    <row r="34235" spans="13:13" x14ac:dyDescent="0.25">
      <c r="M34235" t="s">
        <v>218</v>
      </c>
    </row>
    <row r="34236" spans="13:13" x14ac:dyDescent="0.25">
      <c r="M34236" t="s">
        <v>219</v>
      </c>
    </row>
    <row r="34237" spans="13:13" x14ac:dyDescent="0.25">
      <c r="M34237" t="s">
        <v>220</v>
      </c>
    </row>
    <row r="34241" spans="13:13" x14ac:dyDescent="0.25">
      <c r="M34241" t="s">
        <v>221</v>
      </c>
    </row>
    <row r="34242" spans="13:13" x14ac:dyDescent="0.25">
      <c r="M34242" t="s">
        <v>222</v>
      </c>
    </row>
    <row r="34243" spans="13:13" x14ac:dyDescent="0.25">
      <c r="M34243" t="s">
        <v>223</v>
      </c>
    </row>
    <row r="34244" spans="13:13" x14ac:dyDescent="0.25">
      <c r="M34244" t="s">
        <v>224</v>
      </c>
    </row>
    <row r="34245" spans="13:13" x14ac:dyDescent="0.25">
      <c r="M34245" t="s">
        <v>225</v>
      </c>
    </row>
    <row r="34246" spans="13:13" x14ac:dyDescent="0.25">
      <c r="M34246" t="s">
        <v>226</v>
      </c>
    </row>
    <row r="34247" spans="13:13" x14ac:dyDescent="0.25">
      <c r="M34247" t="s">
        <v>227</v>
      </c>
    </row>
    <row r="34248" spans="13:13" x14ac:dyDescent="0.25">
      <c r="M34248" t="s">
        <v>228</v>
      </c>
    </row>
    <row r="34249" spans="13:13" x14ac:dyDescent="0.25">
      <c r="M34249" t="s">
        <v>229</v>
      </c>
    </row>
    <row r="34250" spans="13:13" x14ac:dyDescent="0.25">
      <c r="M34250" t="s">
        <v>230</v>
      </c>
    </row>
    <row r="34251" spans="13:13" x14ac:dyDescent="0.25">
      <c r="M34251" t="s">
        <v>231</v>
      </c>
    </row>
    <row r="34252" spans="13:13" x14ac:dyDescent="0.25">
      <c r="M34252" t="s">
        <v>232</v>
      </c>
    </row>
    <row r="34253" spans="13:13" x14ac:dyDescent="0.25">
      <c r="M34253" t="s">
        <v>233</v>
      </c>
    </row>
    <row r="34254" spans="13:13" x14ac:dyDescent="0.25">
      <c r="M34254" t="s">
        <v>234</v>
      </c>
    </row>
    <row r="34255" spans="13:13" x14ac:dyDescent="0.25">
      <c r="M34255" t="s">
        <v>235</v>
      </c>
    </row>
    <row r="34256" spans="13:13" x14ac:dyDescent="0.25">
      <c r="M34256" t="s">
        <v>236</v>
      </c>
    </row>
    <row r="34257" spans="13:13" x14ac:dyDescent="0.25">
      <c r="M34257" t="s">
        <v>237</v>
      </c>
    </row>
    <row r="34258" spans="13:13" x14ac:dyDescent="0.25">
      <c r="M34258" t="s">
        <v>238</v>
      </c>
    </row>
    <row r="34259" spans="13:13" x14ac:dyDescent="0.25">
      <c r="M34259" t="s">
        <v>239</v>
      </c>
    </row>
    <row r="34260" spans="13:13" x14ac:dyDescent="0.25">
      <c r="M34260" t="s">
        <v>240</v>
      </c>
    </row>
    <row r="34261" spans="13:13" x14ac:dyDescent="0.25">
      <c r="M34261" t="s">
        <v>241</v>
      </c>
    </row>
    <row r="34262" spans="13:13" x14ac:dyDescent="0.25">
      <c r="M34262" t="s">
        <v>242</v>
      </c>
    </row>
    <row r="34263" spans="13:13" x14ac:dyDescent="0.25">
      <c r="M34263" t="s">
        <v>243</v>
      </c>
    </row>
    <row r="34264" spans="13:13" x14ac:dyDescent="0.25">
      <c r="M34264" t="s">
        <v>244</v>
      </c>
    </row>
    <row r="34265" spans="13:13" x14ac:dyDescent="0.25">
      <c r="M34265" t="s">
        <v>245</v>
      </c>
    </row>
    <row r="34266" spans="13:13" x14ac:dyDescent="0.25">
      <c r="M34266" t="s">
        <v>246</v>
      </c>
    </row>
    <row r="34267" spans="13:13" x14ac:dyDescent="0.25">
      <c r="M34267" t="s">
        <v>247</v>
      </c>
    </row>
    <row r="34268" spans="13:13" x14ac:dyDescent="0.25">
      <c r="M34268" t="s">
        <v>248</v>
      </c>
    </row>
    <row r="34269" spans="13:13" x14ac:dyDescent="0.25">
      <c r="M34269" t="s">
        <v>249</v>
      </c>
    </row>
    <row r="34270" spans="13:13" x14ac:dyDescent="0.25">
      <c r="M34270" t="s">
        <v>250</v>
      </c>
    </row>
    <row r="34271" spans="13:13" x14ac:dyDescent="0.25">
      <c r="M34271" t="s">
        <v>251</v>
      </c>
    </row>
    <row r="34272" spans="13:13" x14ac:dyDescent="0.25">
      <c r="M34272" t="s">
        <v>252</v>
      </c>
    </row>
    <row r="34273" spans="13:13" x14ac:dyDescent="0.25">
      <c r="M34273" t="s">
        <v>253</v>
      </c>
    </row>
    <row r="34283" spans="13:13" x14ac:dyDescent="0.25">
      <c r="M34283" t="s">
        <v>254</v>
      </c>
    </row>
    <row r="34284" spans="13:13" x14ac:dyDescent="0.25">
      <c r="M34284" t="s">
        <v>83</v>
      </c>
    </row>
    <row r="34298" spans="13:13" x14ac:dyDescent="0.25">
      <c r="M34298" t="s">
        <v>255</v>
      </c>
    </row>
    <row r="34299" spans="13:13" x14ac:dyDescent="0.25">
      <c r="M34299" t="s">
        <v>256</v>
      </c>
    </row>
    <row r="34300" spans="13:13" x14ac:dyDescent="0.25">
      <c r="M34300" t="s">
        <v>257</v>
      </c>
    </row>
    <row r="34301" spans="13:13" x14ac:dyDescent="0.25">
      <c r="M34301" t="s">
        <v>258</v>
      </c>
    </row>
    <row r="34302" spans="13:13" x14ac:dyDescent="0.25">
      <c r="M34302" t="s">
        <v>259</v>
      </c>
    </row>
    <row r="34303" spans="13:13" x14ac:dyDescent="0.25">
      <c r="M34303" t="s">
        <v>260</v>
      </c>
    </row>
    <row r="34304" spans="13:13" x14ac:dyDescent="0.25">
      <c r="M34304" t="s">
        <v>261</v>
      </c>
    </row>
    <row r="34305" spans="13:13" x14ac:dyDescent="0.25">
      <c r="M34305" t="s">
        <v>262</v>
      </c>
    </row>
    <row r="34306" spans="13:13" x14ac:dyDescent="0.25">
      <c r="M34306" t="s">
        <v>263</v>
      </c>
    </row>
    <row r="34357" spans="13:13" x14ac:dyDescent="0.25">
      <c r="M34357" t="s">
        <v>264</v>
      </c>
    </row>
    <row r="34358" spans="13:13" x14ac:dyDescent="0.25">
      <c r="M34358" t="s">
        <v>265</v>
      </c>
    </row>
    <row r="34359" spans="13:13" x14ac:dyDescent="0.25">
      <c r="M34359" t="s">
        <v>266</v>
      </c>
    </row>
    <row r="34408" spans="13:13" x14ac:dyDescent="0.25">
      <c r="M34408" t="s">
        <v>267</v>
      </c>
    </row>
    <row r="34409" spans="13:13" x14ac:dyDescent="0.25">
      <c r="M34409" t="s">
        <v>268</v>
      </c>
    </row>
    <row r="34410" spans="13:13" x14ac:dyDescent="0.25">
      <c r="M34410" t="s">
        <v>269</v>
      </c>
    </row>
    <row r="34411" spans="13:13" x14ac:dyDescent="0.25">
      <c r="M34411" t="s">
        <v>270</v>
      </c>
    </row>
    <row r="34412" spans="13:13" x14ac:dyDescent="0.25">
      <c r="M34412" t="s">
        <v>271</v>
      </c>
    </row>
    <row r="34413" spans="13:13" x14ac:dyDescent="0.25">
      <c r="M34413" t="s">
        <v>272</v>
      </c>
    </row>
    <row r="34434" spans="13:13" x14ac:dyDescent="0.25">
      <c r="M34434" t="s">
        <v>273</v>
      </c>
    </row>
    <row r="34435" spans="13:13" x14ac:dyDescent="0.25">
      <c r="M34435" t="s">
        <v>274</v>
      </c>
    </row>
    <row r="34438" spans="13:13" x14ac:dyDescent="0.25">
      <c r="M34438" t="s">
        <v>275</v>
      </c>
    </row>
    <row r="34439" spans="13:13" x14ac:dyDescent="0.25">
      <c r="M34439" t="s">
        <v>276</v>
      </c>
    </row>
    <row r="34440" spans="13:13" x14ac:dyDescent="0.25">
      <c r="M34440" t="s">
        <v>277</v>
      </c>
    </row>
    <row r="34445" spans="13:13" x14ac:dyDescent="0.25">
      <c r="M34445" t="s">
        <v>278</v>
      </c>
    </row>
    <row r="34446" spans="13:13" x14ac:dyDescent="0.25">
      <c r="M34446" t="s">
        <v>279</v>
      </c>
    </row>
    <row r="34462" spans="13:13" x14ac:dyDescent="0.25">
      <c r="M34462" t="s">
        <v>203</v>
      </c>
    </row>
    <row r="34463" spans="13:13" x14ac:dyDescent="0.25">
      <c r="M34463" t="s">
        <v>204</v>
      </c>
    </row>
    <row r="34464" spans="13:13" x14ac:dyDescent="0.25">
      <c r="M34464" t="s">
        <v>205</v>
      </c>
    </row>
    <row r="34465" spans="13:13" x14ac:dyDescent="0.25">
      <c r="M34465" t="s">
        <v>206</v>
      </c>
    </row>
    <row r="34466" spans="13:13" x14ac:dyDescent="0.25">
      <c r="M34466" t="s">
        <v>207</v>
      </c>
    </row>
    <row r="34467" spans="13:13" x14ac:dyDescent="0.25">
      <c r="M34467" t="s">
        <v>208</v>
      </c>
    </row>
    <row r="34468" spans="13:13" x14ac:dyDescent="0.25">
      <c r="M34468" t="s">
        <v>209</v>
      </c>
    </row>
    <row r="34469" spans="13:13" x14ac:dyDescent="0.25">
      <c r="M34469" t="s">
        <v>210</v>
      </c>
    </row>
    <row r="34489" spans="13:13" x14ac:dyDescent="0.25">
      <c r="M34489" t="s">
        <v>211</v>
      </c>
    </row>
    <row r="34490" spans="13:13" x14ac:dyDescent="0.25">
      <c r="M34490" t="s">
        <v>212</v>
      </c>
    </row>
    <row r="34491" spans="13:13" x14ac:dyDescent="0.25">
      <c r="M34491" t="s">
        <v>213</v>
      </c>
    </row>
    <row r="34492" spans="13:13" x14ac:dyDescent="0.25">
      <c r="M34492" t="s">
        <v>214</v>
      </c>
    </row>
    <row r="34493" spans="13:13" x14ac:dyDescent="0.25">
      <c r="M34493" t="s">
        <v>215</v>
      </c>
    </row>
    <row r="34494" spans="13:13" x14ac:dyDescent="0.25">
      <c r="M34494" t="s">
        <v>216</v>
      </c>
    </row>
    <row r="34495" spans="13:13" x14ac:dyDescent="0.25">
      <c r="M34495" t="s">
        <v>217</v>
      </c>
    </row>
    <row r="34496" spans="13:13" x14ac:dyDescent="0.25">
      <c r="M34496" t="s">
        <v>218</v>
      </c>
    </row>
    <row r="34497" spans="13:13" x14ac:dyDescent="0.25">
      <c r="M34497" t="s">
        <v>219</v>
      </c>
    </row>
    <row r="34498" spans="13:13" x14ac:dyDescent="0.25">
      <c r="M34498" t="s">
        <v>220</v>
      </c>
    </row>
    <row r="34502" spans="13:13" x14ac:dyDescent="0.25">
      <c r="M34502" t="s">
        <v>221</v>
      </c>
    </row>
    <row r="34503" spans="13:13" x14ac:dyDescent="0.25">
      <c r="M34503" t="s">
        <v>222</v>
      </c>
    </row>
    <row r="34504" spans="13:13" x14ac:dyDescent="0.25">
      <c r="M34504" t="s">
        <v>223</v>
      </c>
    </row>
    <row r="34505" spans="13:13" x14ac:dyDescent="0.25">
      <c r="M34505" t="s">
        <v>224</v>
      </c>
    </row>
    <row r="34506" spans="13:13" x14ac:dyDescent="0.25">
      <c r="M34506" t="s">
        <v>225</v>
      </c>
    </row>
    <row r="34507" spans="13:13" x14ac:dyDescent="0.25">
      <c r="M34507" t="s">
        <v>226</v>
      </c>
    </row>
    <row r="34508" spans="13:13" x14ac:dyDescent="0.25">
      <c r="M34508" t="s">
        <v>227</v>
      </c>
    </row>
    <row r="34509" spans="13:13" x14ac:dyDescent="0.25">
      <c r="M34509" t="s">
        <v>228</v>
      </c>
    </row>
    <row r="34510" spans="13:13" x14ac:dyDescent="0.25">
      <c r="M34510" t="s">
        <v>229</v>
      </c>
    </row>
    <row r="34511" spans="13:13" x14ac:dyDescent="0.25">
      <c r="M34511" t="s">
        <v>230</v>
      </c>
    </row>
    <row r="34512" spans="13:13" x14ac:dyDescent="0.25">
      <c r="M34512" t="s">
        <v>231</v>
      </c>
    </row>
    <row r="34513" spans="13:13" x14ac:dyDescent="0.25">
      <c r="M34513" t="s">
        <v>232</v>
      </c>
    </row>
    <row r="34514" spans="13:13" x14ac:dyDescent="0.25">
      <c r="M34514" t="s">
        <v>233</v>
      </c>
    </row>
    <row r="34515" spans="13:13" x14ac:dyDescent="0.25">
      <c r="M34515" t="s">
        <v>234</v>
      </c>
    </row>
    <row r="34516" spans="13:13" x14ac:dyDescent="0.25">
      <c r="M34516" t="s">
        <v>235</v>
      </c>
    </row>
    <row r="34517" spans="13:13" x14ac:dyDescent="0.25">
      <c r="M34517" t="s">
        <v>236</v>
      </c>
    </row>
    <row r="34518" spans="13:13" x14ac:dyDescent="0.25">
      <c r="M34518" t="s">
        <v>237</v>
      </c>
    </row>
    <row r="34519" spans="13:13" x14ac:dyDescent="0.25">
      <c r="M34519" t="s">
        <v>238</v>
      </c>
    </row>
    <row r="34520" spans="13:13" x14ac:dyDescent="0.25">
      <c r="M34520" t="s">
        <v>239</v>
      </c>
    </row>
    <row r="34521" spans="13:13" x14ac:dyDescent="0.25">
      <c r="M34521" t="s">
        <v>240</v>
      </c>
    </row>
    <row r="34522" spans="13:13" x14ac:dyDescent="0.25">
      <c r="M34522" t="s">
        <v>241</v>
      </c>
    </row>
    <row r="34523" spans="13:13" x14ac:dyDescent="0.25">
      <c r="M34523" t="s">
        <v>242</v>
      </c>
    </row>
    <row r="34524" spans="13:13" x14ac:dyDescent="0.25">
      <c r="M34524" t="s">
        <v>243</v>
      </c>
    </row>
    <row r="34525" spans="13:13" x14ac:dyDescent="0.25">
      <c r="M34525" t="s">
        <v>244</v>
      </c>
    </row>
    <row r="34526" spans="13:13" x14ac:dyDescent="0.25">
      <c r="M34526" t="s">
        <v>245</v>
      </c>
    </row>
    <row r="34527" spans="13:13" x14ac:dyDescent="0.25">
      <c r="M34527" t="s">
        <v>246</v>
      </c>
    </row>
    <row r="34528" spans="13:13" x14ac:dyDescent="0.25">
      <c r="M34528" t="s">
        <v>247</v>
      </c>
    </row>
    <row r="34529" spans="13:13" x14ac:dyDescent="0.25">
      <c r="M34529" t="s">
        <v>248</v>
      </c>
    </row>
    <row r="34530" spans="13:13" x14ac:dyDescent="0.25">
      <c r="M34530" t="s">
        <v>249</v>
      </c>
    </row>
    <row r="34531" spans="13:13" x14ac:dyDescent="0.25">
      <c r="M34531" t="s">
        <v>250</v>
      </c>
    </row>
    <row r="34532" spans="13:13" x14ac:dyDescent="0.25">
      <c r="M34532" t="s">
        <v>251</v>
      </c>
    </row>
    <row r="34533" spans="13:13" x14ac:dyDescent="0.25">
      <c r="M34533" t="s">
        <v>252</v>
      </c>
    </row>
    <row r="34534" spans="13:13" x14ac:dyDescent="0.25">
      <c r="M34534" t="s">
        <v>253</v>
      </c>
    </row>
    <row r="34544" spans="13:13" x14ac:dyDescent="0.25">
      <c r="M34544" t="s">
        <v>254</v>
      </c>
    </row>
    <row r="34545" spans="13:13" x14ac:dyDescent="0.25">
      <c r="M34545" t="s">
        <v>83</v>
      </c>
    </row>
    <row r="34559" spans="13:13" x14ac:dyDescent="0.25">
      <c r="M34559" t="s">
        <v>255</v>
      </c>
    </row>
    <row r="34560" spans="13:13" x14ac:dyDescent="0.25">
      <c r="M34560" t="s">
        <v>256</v>
      </c>
    </row>
    <row r="34561" spans="13:13" x14ac:dyDescent="0.25">
      <c r="M34561" t="s">
        <v>257</v>
      </c>
    </row>
    <row r="34562" spans="13:13" x14ac:dyDescent="0.25">
      <c r="M34562" t="s">
        <v>258</v>
      </c>
    </row>
    <row r="34563" spans="13:13" x14ac:dyDescent="0.25">
      <c r="M34563" t="s">
        <v>259</v>
      </c>
    </row>
    <row r="34564" spans="13:13" x14ac:dyDescent="0.25">
      <c r="M34564" t="s">
        <v>260</v>
      </c>
    </row>
    <row r="34565" spans="13:13" x14ac:dyDescent="0.25">
      <c r="M34565" t="s">
        <v>261</v>
      </c>
    </row>
    <row r="34566" spans="13:13" x14ac:dyDescent="0.25">
      <c r="M34566" t="s">
        <v>262</v>
      </c>
    </row>
    <row r="34567" spans="13:13" x14ac:dyDescent="0.25">
      <c r="M34567" t="s">
        <v>263</v>
      </c>
    </row>
    <row r="34618" spans="13:13" x14ac:dyDescent="0.25">
      <c r="M34618" t="s">
        <v>264</v>
      </c>
    </row>
    <row r="34619" spans="13:13" x14ac:dyDescent="0.25">
      <c r="M34619" t="s">
        <v>265</v>
      </c>
    </row>
    <row r="34620" spans="13:13" x14ac:dyDescent="0.25">
      <c r="M34620" t="s">
        <v>266</v>
      </c>
    </row>
    <row r="34669" spans="13:13" x14ac:dyDescent="0.25">
      <c r="M34669" t="s">
        <v>267</v>
      </c>
    </row>
    <row r="34670" spans="13:13" x14ac:dyDescent="0.25">
      <c r="M34670" t="s">
        <v>268</v>
      </c>
    </row>
    <row r="34671" spans="13:13" x14ac:dyDescent="0.25">
      <c r="M34671" t="s">
        <v>269</v>
      </c>
    </row>
    <row r="34672" spans="13:13" x14ac:dyDescent="0.25">
      <c r="M34672" t="s">
        <v>270</v>
      </c>
    </row>
    <row r="34673" spans="13:13" x14ac:dyDescent="0.25">
      <c r="M34673" t="s">
        <v>271</v>
      </c>
    </row>
    <row r="34674" spans="13:13" x14ac:dyDescent="0.25">
      <c r="M34674" t="s">
        <v>272</v>
      </c>
    </row>
    <row r="34695" spans="13:13" x14ac:dyDescent="0.25">
      <c r="M34695" t="s">
        <v>273</v>
      </c>
    </row>
    <row r="34696" spans="13:13" x14ac:dyDescent="0.25">
      <c r="M34696" t="s">
        <v>274</v>
      </c>
    </row>
    <row r="34699" spans="13:13" x14ac:dyDescent="0.25">
      <c r="M34699" t="s">
        <v>275</v>
      </c>
    </row>
    <row r="34700" spans="13:13" x14ac:dyDescent="0.25">
      <c r="M34700" t="s">
        <v>276</v>
      </c>
    </row>
    <row r="34701" spans="13:13" x14ac:dyDescent="0.25">
      <c r="M34701" t="s">
        <v>277</v>
      </c>
    </row>
    <row r="34706" spans="13:13" x14ac:dyDescent="0.25">
      <c r="M34706" t="s">
        <v>278</v>
      </c>
    </row>
    <row r="34707" spans="13:13" x14ac:dyDescent="0.25">
      <c r="M34707" t="s">
        <v>279</v>
      </c>
    </row>
    <row r="34723" spans="13:13" x14ac:dyDescent="0.25">
      <c r="M34723" t="s">
        <v>203</v>
      </c>
    </row>
    <row r="34724" spans="13:13" x14ac:dyDescent="0.25">
      <c r="M34724" t="s">
        <v>204</v>
      </c>
    </row>
    <row r="34725" spans="13:13" x14ac:dyDescent="0.25">
      <c r="M34725" t="s">
        <v>205</v>
      </c>
    </row>
    <row r="34726" spans="13:13" x14ac:dyDescent="0.25">
      <c r="M34726" t="s">
        <v>206</v>
      </c>
    </row>
    <row r="34727" spans="13:13" x14ac:dyDescent="0.25">
      <c r="M34727" t="s">
        <v>207</v>
      </c>
    </row>
    <row r="34728" spans="13:13" x14ac:dyDescent="0.25">
      <c r="M34728" t="s">
        <v>208</v>
      </c>
    </row>
    <row r="34729" spans="13:13" x14ac:dyDescent="0.25">
      <c r="M34729" t="s">
        <v>209</v>
      </c>
    </row>
    <row r="34730" spans="13:13" x14ac:dyDescent="0.25">
      <c r="M34730" t="s">
        <v>210</v>
      </c>
    </row>
    <row r="34750" spans="13:13" x14ac:dyDescent="0.25">
      <c r="M34750" t="s">
        <v>211</v>
      </c>
    </row>
    <row r="34751" spans="13:13" x14ac:dyDescent="0.25">
      <c r="M34751" t="s">
        <v>212</v>
      </c>
    </row>
    <row r="34752" spans="13:13" x14ac:dyDescent="0.25">
      <c r="M34752" t="s">
        <v>213</v>
      </c>
    </row>
    <row r="34753" spans="13:13" x14ac:dyDescent="0.25">
      <c r="M34753" t="s">
        <v>214</v>
      </c>
    </row>
    <row r="34754" spans="13:13" x14ac:dyDescent="0.25">
      <c r="M34754" t="s">
        <v>215</v>
      </c>
    </row>
    <row r="34755" spans="13:13" x14ac:dyDescent="0.25">
      <c r="M34755" t="s">
        <v>216</v>
      </c>
    </row>
    <row r="34756" spans="13:13" x14ac:dyDescent="0.25">
      <c r="M34756" t="s">
        <v>217</v>
      </c>
    </row>
    <row r="34757" spans="13:13" x14ac:dyDescent="0.25">
      <c r="M34757" t="s">
        <v>218</v>
      </c>
    </row>
    <row r="34758" spans="13:13" x14ac:dyDescent="0.25">
      <c r="M34758" t="s">
        <v>219</v>
      </c>
    </row>
    <row r="34759" spans="13:13" x14ac:dyDescent="0.25">
      <c r="M34759" t="s">
        <v>220</v>
      </c>
    </row>
    <row r="34763" spans="13:13" x14ac:dyDescent="0.25">
      <c r="M34763" t="s">
        <v>221</v>
      </c>
    </row>
    <row r="34764" spans="13:13" x14ac:dyDescent="0.25">
      <c r="M34764" t="s">
        <v>222</v>
      </c>
    </row>
    <row r="34765" spans="13:13" x14ac:dyDescent="0.25">
      <c r="M34765" t="s">
        <v>223</v>
      </c>
    </row>
    <row r="34766" spans="13:13" x14ac:dyDescent="0.25">
      <c r="M34766" t="s">
        <v>224</v>
      </c>
    </row>
    <row r="34767" spans="13:13" x14ac:dyDescent="0.25">
      <c r="M34767" t="s">
        <v>225</v>
      </c>
    </row>
    <row r="34768" spans="13:13" x14ac:dyDescent="0.25">
      <c r="M34768" t="s">
        <v>226</v>
      </c>
    </row>
    <row r="34769" spans="13:13" x14ac:dyDescent="0.25">
      <c r="M34769" t="s">
        <v>227</v>
      </c>
    </row>
    <row r="34770" spans="13:13" x14ac:dyDescent="0.25">
      <c r="M34770" t="s">
        <v>228</v>
      </c>
    </row>
    <row r="34771" spans="13:13" x14ac:dyDescent="0.25">
      <c r="M34771" t="s">
        <v>229</v>
      </c>
    </row>
    <row r="34772" spans="13:13" x14ac:dyDescent="0.25">
      <c r="M34772" t="s">
        <v>230</v>
      </c>
    </row>
    <row r="34773" spans="13:13" x14ac:dyDescent="0.25">
      <c r="M34773" t="s">
        <v>231</v>
      </c>
    </row>
    <row r="34774" spans="13:13" x14ac:dyDescent="0.25">
      <c r="M34774" t="s">
        <v>232</v>
      </c>
    </row>
    <row r="34775" spans="13:13" x14ac:dyDescent="0.25">
      <c r="M34775" t="s">
        <v>233</v>
      </c>
    </row>
    <row r="34776" spans="13:13" x14ac:dyDescent="0.25">
      <c r="M34776" t="s">
        <v>234</v>
      </c>
    </row>
    <row r="34777" spans="13:13" x14ac:dyDescent="0.25">
      <c r="M34777" t="s">
        <v>235</v>
      </c>
    </row>
    <row r="34778" spans="13:13" x14ac:dyDescent="0.25">
      <c r="M34778" t="s">
        <v>236</v>
      </c>
    </row>
    <row r="34779" spans="13:13" x14ac:dyDescent="0.25">
      <c r="M34779" t="s">
        <v>237</v>
      </c>
    </row>
    <row r="34780" spans="13:13" x14ac:dyDescent="0.25">
      <c r="M34780" t="s">
        <v>238</v>
      </c>
    </row>
    <row r="34781" spans="13:13" x14ac:dyDescent="0.25">
      <c r="M34781" t="s">
        <v>239</v>
      </c>
    </row>
    <row r="34782" spans="13:13" x14ac:dyDescent="0.25">
      <c r="M34782" t="s">
        <v>240</v>
      </c>
    </row>
    <row r="34783" spans="13:13" x14ac:dyDescent="0.25">
      <c r="M34783" t="s">
        <v>241</v>
      </c>
    </row>
    <row r="34784" spans="13:13" x14ac:dyDescent="0.25">
      <c r="M34784" t="s">
        <v>242</v>
      </c>
    </row>
    <row r="34785" spans="13:13" x14ac:dyDescent="0.25">
      <c r="M34785" t="s">
        <v>243</v>
      </c>
    </row>
    <row r="34786" spans="13:13" x14ac:dyDescent="0.25">
      <c r="M34786" t="s">
        <v>244</v>
      </c>
    </row>
    <row r="34787" spans="13:13" x14ac:dyDescent="0.25">
      <c r="M34787" t="s">
        <v>245</v>
      </c>
    </row>
    <row r="34788" spans="13:13" x14ac:dyDescent="0.25">
      <c r="M34788" t="s">
        <v>246</v>
      </c>
    </row>
    <row r="34789" spans="13:13" x14ac:dyDescent="0.25">
      <c r="M34789" t="s">
        <v>247</v>
      </c>
    </row>
    <row r="34790" spans="13:13" x14ac:dyDescent="0.25">
      <c r="M34790" t="s">
        <v>248</v>
      </c>
    </row>
    <row r="34791" spans="13:13" x14ac:dyDescent="0.25">
      <c r="M34791" t="s">
        <v>249</v>
      </c>
    </row>
    <row r="34792" spans="13:13" x14ac:dyDescent="0.25">
      <c r="M34792" t="s">
        <v>250</v>
      </c>
    </row>
    <row r="34793" spans="13:13" x14ac:dyDescent="0.25">
      <c r="M34793" t="s">
        <v>251</v>
      </c>
    </row>
    <row r="34794" spans="13:13" x14ac:dyDescent="0.25">
      <c r="M34794" t="s">
        <v>252</v>
      </c>
    </row>
    <row r="34795" spans="13:13" x14ac:dyDescent="0.25">
      <c r="M34795" t="s">
        <v>253</v>
      </c>
    </row>
    <row r="34805" spans="13:13" x14ac:dyDescent="0.25">
      <c r="M34805" t="s">
        <v>254</v>
      </c>
    </row>
    <row r="34806" spans="13:13" x14ac:dyDescent="0.25">
      <c r="M34806" t="s">
        <v>83</v>
      </c>
    </row>
    <row r="34820" spans="13:13" x14ac:dyDescent="0.25">
      <c r="M34820" t="s">
        <v>255</v>
      </c>
    </row>
    <row r="34821" spans="13:13" x14ac:dyDescent="0.25">
      <c r="M34821" t="s">
        <v>256</v>
      </c>
    </row>
    <row r="34822" spans="13:13" x14ac:dyDescent="0.25">
      <c r="M34822" t="s">
        <v>257</v>
      </c>
    </row>
    <row r="34823" spans="13:13" x14ac:dyDescent="0.25">
      <c r="M34823" t="s">
        <v>258</v>
      </c>
    </row>
    <row r="34824" spans="13:13" x14ac:dyDescent="0.25">
      <c r="M34824" t="s">
        <v>259</v>
      </c>
    </row>
    <row r="34825" spans="13:13" x14ac:dyDescent="0.25">
      <c r="M34825" t="s">
        <v>260</v>
      </c>
    </row>
    <row r="34826" spans="13:13" x14ac:dyDescent="0.25">
      <c r="M34826" t="s">
        <v>261</v>
      </c>
    </row>
    <row r="34827" spans="13:13" x14ac:dyDescent="0.25">
      <c r="M34827" t="s">
        <v>262</v>
      </c>
    </row>
    <row r="34828" spans="13:13" x14ac:dyDescent="0.25">
      <c r="M34828" t="s">
        <v>263</v>
      </c>
    </row>
    <row r="34879" spans="13:13" x14ac:dyDescent="0.25">
      <c r="M34879" t="s">
        <v>264</v>
      </c>
    </row>
    <row r="34880" spans="13:13" x14ac:dyDescent="0.25">
      <c r="M34880" t="s">
        <v>265</v>
      </c>
    </row>
    <row r="34881" spans="13:13" x14ac:dyDescent="0.25">
      <c r="M34881" t="s">
        <v>266</v>
      </c>
    </row>
    <row r="34930" spans="13:13" x14ac:dyDescent="0.25">
      <c r="M34930" t="s">
        <v>267</v>
      </c>
    </row>
    <row r="34931" spans="13:13" x14ac:dyDescent="0.25">
      <c r="M34931" t="s">
        <v>268</v>
      </c>
    </row>
    <row r="34932" spans="13:13" x14ac:dyDescent="0.25">
      <c r="M34932" t="s">
        <v>269</v>
      </c>
    </row>
    <row r="34933" spans="13:13" x14ac:dyDescent="0.25">
      <c r="M34933" t="s">
        <v>270</v>
      </c>
    </row>
    <row r="34934" spans="13:13" x14ac:dyDescent="0.25">
      <c r="M34934" t="s">
        <v>271</v>
      </c>
    </row>
    <row r="34935" spans="13:13" x14ac:dyDescent="0.25">
      <c r="M34935" t="s">
        <v>272</v>
      </c>
    </row>
    <row r="34956" spans="13:13" x14ac:dyDescent="0.25">
      <c r="M34956" t="s">
        <v>273</v>
      </c>
    </row>
    <row r="34957" spans="13:13" x14ac:dyDescent="0.25">
      <c r="M34957" t="s">
        <v>274</v>
      </c>
    </row>
    <row r="34960" spans="13:13" x14ac:dyDescent="0.25">
      <c r="M34960" t="s">
        <v>275</v>
      </c>
    </row>
    <row r="34961" spans="13:13" x14ac:dyDescent="0.25">
      <c r="M34961" t="s">
        <v>276</v>
      </c>
    </row>
    <row r="34962" spans="13:13" x14ac:dyDescent="0.25">
      <c r="M34962" t="s">
        <v>277</v>
      </c>
    </row>
    <row r="34967" spans="13:13" x14ac:dyDescent="0.25">
      <c r="M34967" t="s">
        <v>278</v>
      </c>
    </row>
    <row r="34968" spans="13:13" x14ac:dyDescent="0.25">
      <c r="M34968" t="s">
        <v>279</v>
      </c>
    </row>
    <row r="34984" spans="13:13" x14ac:dyDescent="0.25">
      <c r="M34984" t="s">
        <v>203</v>
      </c>
    </row>
    <row r="34985" spans="13:13" x14ac:dyDescent="0.25">
      <c r="M34985" t="s">
        <v>204</v>
      </c>
    </row>
    <row r="34986" spans="13:13" x14ac:dyDescent="0.25">
      <c r="M34986" t="s">
        <v>205</v>
      </c>
    </row>
    <row r="34987" spans="13:13" x14ac:dyDescent="0.25">
      <c r="M34987" t="s">
        <v>206</v>
      </c>
    </row>
    <row r="34988" spans="13:13" x14ac:dyDescent="0.25">
      <c r="M34988" t="s">
        <v>207</v>
      </c>
    </row>
    <row r="34989" spans="13:13" x14ac:dyDescent="0.25">
      <c r="M34989" t="s">
        <v>208</v>
      </c>
    </row>
    <row r="34990" spans="13:13" x14ac:dyDescent="0.25">
      <c r="M34990" t="s">
        <v>209</v>
      </c>
    </row>
    <row r="34991" spans="13:13" x14ac:dyDescent="0.25">
      <c r="M34991" t="s">
        <v>210</v>
      </c>
    </row>
    <row r="35011" spans="13:13" x14ac:dyDescent="0.25">
      <c r="M35011" t="s">
        <v>211</v>
      </c>
    </row>
    <row r="35012" spans="13:13" x14ac:dyDescent="0.25">
      <c r="M35012" t="s">
        <v>212</v>
      </c>
    </row>
    <row r="35013" spans="13:13" x14ac:dyDescent="0.25">
      <c r="M35013" t="s">
        <v>213</v>
      </c>
    </row>
    <row r="35014" spans="13:13" x14ac:dyDescent="0.25">
      <c r="M35014" t="s">
        <v>214</v>
      </c>
    </row>
    <row r="35015" spans="13:13" x14ac:dyDescent="0.25">
      <c r="M35015" t="s">
        <v>215</v>
      </c>
    </row>
    <row r="35016" spans="13:13" x14ac:dyDescent="0.25">
      <c r="M35016" t="s">
        <v>216</v>
      </c>
    </row>
    <row r="35017" spans="13:13" x14ac:dyDescent="0.25">
      <c r="M35017" t="s">
        <v>217</v>
      </c>
    </row>
    <row r="35018" spans="13:13" x14ac:dyDescent="0.25">
      <c r="M35018" t="s">
        <v>218</v>
      </c>
    </row>
    <row r="35019" spans="13:13" x14ac:dyDescent="0.25">
      <c r="M35019" t="s">
        <v>219</v>
      </c>
    </row>
    <row r="35020" spans="13:13" x14ac:dyDescent="0.25">
      <c r="M35020" t="s">
        <v>220</v>
      </c>
    </row>
    <row r="35024" spans="13:13" x14ac:dyDescent="0.25">
      <c r="M35024" t="s">
        <v>221</v>
      </c>
    </row>
    <row r="35025" spans="13:13" x14ac:dyDescent="0.25">
      <c r="M35025" t="s">
        <v>222</v>
      </c>
    </row>
    <row r="35026" spans="13:13" x14ac:dyDescent="0.25">
      <c r="M35026" t="s">
        <v>223</v>
      </c>
    </row>
    <row r="35027" spans="13:13" x14ac:dyDescent="0.25">
      <c r="M35027" t="s">
        <v>224</v>
      </c>
    </row>
    <row r="35028" spans="13:13" x14ac:dyDescent="0.25">
      <c r="M35028" t="s">
        <v>225</v>
      </c>
    </row>
    <row r="35029" spans="13:13" x14ac:dyDescent="0.25">
      <c r="M35029" t="s">
        <v>226</v>
      </c>
    </row>
    <row r="35030" spans="13:13" x14ac:dyDescent="0.25">
      <c r="M35030" t="s">
        <v>227</v>
      </c>
    </row>
    <row r="35031" spans="13:13" x14ac:dyDescent="0.25">
      <c r="M35031" t="s">
        <v>228</v>
      </c>
    </row>
    <row r="35032" spans="13:13" x14ac:dyDescent="0.25">
      <c r="M35032" t="s">
        <v>229</v>
      </c>
    </row>
    <row r="35033" spans="13:13" x14ac:dyDescent="0.25">
      <c r="M35033" t="s">
        <v>230</v>
      </c>
    </row>
    <row r="35034" spans="13:13" x14ac:dyDescent="0.25">
      <c r="M35034" t="s">
        <v>231</v>
      </c>
    </row>
    <row r="35035" spans="13:13" x14ac:dyDescent="0.25">
      <c r="M35035" t="s">
        <v>232</v>
      </c>
    </row>
    <row r="35036" spans="13:13" x14ac:dyDescent="0.25">
      <c r="M35036" t="s">
        <v>233</v>
      </c>
    </row>
    <row r="35037" spans="13:13" x14ac:dyDescent="0.25">
      <c r="M35037" t="s">
        <v>234</v>
      </c>
    </row>
    <row r="35038" spans="13:13" x14ac:dyDescent="0.25">
      <c r="M35038" t="s">
        <v>235</v>
      </c>
    </row>
    <row r="35039" spans="13:13" x14ac:dyDescent="0.25">
      <c r="M35039" t="s">
        <v>236</v>
      </c>
    </row>
    <row r="35040" spans="13:13" x14ac:dyDescent="0.25">
      <c r="M35040" t="s">
        <v>237</v>
      </c>
    </row>
    <row r="35041" spans="13:13" x14ac:dyDescent="0.25">
      <c r="M35041" t="s">
        <v>238</v>
      </c>
    </row>
    <row r="35042" spans="13:13" x14ac:dyDescent="0.25">
      <c r="M35042" t="s">
        <v>239</v>
      </c>
    </row>
    <row r="35043" spans="13:13" x14ac:dyDescent="0.25">
      <c r="M35043" t="s">
        <v>240</v>
      </c>
    </row>
    <row r="35044" spans="13:13" x14ac:dyDescent="0.25">
      <c r="M35044" t="s">
        <v>241</v>
      </c>
    </row>
    <row r="35045" spans="13:13" x14ac:dyDescent="0.25">
      <c r="M35045" t="s">
        <v>242</v>
      </c>
    </row>
    <row r="35046" spans="13:13" x14ac:dyDescent="0.25">
      <c r="M35046" t="s">
        <v>243</v>
      </c>
    </row>
    <row r="35047" spans="13:13" x14ac:dyDescent="0.25">
      <c r="M35047" t="s">
        <v>244</v>
      </c>
    </row>
    <row r="35048" spans="13:13" x14ac:dyDescent="0.25">
      <c r="M35048" t="s">
        <v>245</v>
      </c>
    </row>
    <row r="35049" spans="13:13" x14ac:dyDescent="0.25">
      <c r="M35049" t="s">
        <v>246</v>
      </c>
    </row>
    <row r="35050" spans="13:13" x14ac:dyDescent="0.25">
      <c r="M35050" t="s">
        <v>247</v>
      </c>
    </row>
    <row r="35051" spans="13:13" x14ac:dyDescent="0.25">
      <c r="M35051" t="s">
        <v>248</v>
      </c>
    </row>
    <row r="35052" spans="13:13" x14ac:dyDescent="0.25">
      <c r="M35052" t="s">
        <v>249</v>
      </c>
    </row>
    <row r="35053" spans="13:13" x14ac:dyDescent="0.25">
      <c r="M35053" t="s">
        <v>250</v>
      </c>
    </row>
    <row r="35054" spans="13:13" x14ac:dyDescent="0.25">
      <c r="M35054" t="s">
        <v>251</v>
      </c>
    </row>
    <row r="35055" spans="13:13" x14ac:dyDescent="0.25">
      <c r="M35055" t="s">
        <v>252</v>
      </c>
    </row>
    <row r="35056" spans="13:13" x14ac:dyDescent="0.25">
      <c r="M35056" t="s">
        <v>253</v>
      </c>
    </row>
    <row r="35066" spans="13:13" x14ac:dyDescent="0.25">
      <c r="M35066" t="s">
        <v>254</v>
      </c>
    </row>
    <row r="35067" spans="13:13" x14ac:dyDescent="0.25">
      <c r="M35067" t="s">
        <v>83</v>
      </c>
    </row>
    <row r="35081" spans="13:13" x14ac:dyDescent="0.25">
      <c r="M35081" t="s">
        <v>255</v>
      </c>
    </row>
    <row r="35082" spans="13:13" x14ac:dyDescent="0.25">
      <c r="M35082" t="s">
        <v>256</v>
      </c>
    </row>
    <row r="35083" spans="13:13" x14ac:dyDescent="0.25">
      <c r="M35083" t="s">
        <v>257</v>
      </c>
    </row>
    <row r="35084" spans="13:13" x14ac:dyDescent="0.25">
      <c r="M35084" t="s">
        <v>258</v>
      </c>
    </row>
    <row r="35085" spans="13:13" x14ac:dyDescent="0.25">
      <c r="M35085" t="s">
        <v>259</v>
      </c>
    </row>
    <row r="35086" spans="13:13" x14ac:dyDescent="0.25">
      <c r="M35086" t="s">
        <v>260</v>
      </c>
    </row>
    <row r="35087" spans="13:13" x14ac:dyDescent="0.25">
      <c r="M35087" t="s">
        <v>261</v>
      </c>
    </row>
    <row r="35088" spans="13:13" x14ac:dyDescent="0.25">
      <c r="M35088" t="s">
        <v>262</v>
      </c>
    </row>
    <row r="35089" spans="13:13" x14ac:dyDescent="0.25">
      <c r="M35089" t="s">
        <v>263</v>
      </c>
    </row>
    <row r="35140" spans="13:13" x14ac:dyDescent="0.25">
      <c r="M35140" t="s">
        <v>264</v>
      </c>
    </row>
    <row r="35141" spans="13:13" x14ac:dyDescent="0.25">
      <c r="M35141" t="s">
        <v>265</v>
      </c>
    </row>
    <row r="35142" spans="13:13" x14ac:dyDescent="0.25">
      <c r="M35142" t="s">
        <v>266</v>
      </c>
    </row>
    <row r="35191" spans="13:13" x14ac:dyDescent="0.25">
      <c r="M35191" t="s">
        <v>267</v>
      </c>
    </row>
    <row r="35192" spans="13:13" x14ac:dyDescent="0.25">
      <c r="M35192" t="s">
        <v>268</v>
      </c>
    </row>
    <row r="35193" spans="13:13" x14ac:dyDescent="0.25">
      <c r="M35193" t="s">
        <v>269</v>
      </c>
    </row>
    <row r="35194" spans="13:13" x14ac:dyDescent="0.25">
      <c r="M35194" t="s">
        <v>270</v>
      </c>
    </row>
    <row r="35195" spans="13:13" x14ac:dyDescent="0.25">
      <c r="M35195" t="s">
        <v>271</v>
      </c>
    </row>
    <row r="35196" spans="13:13" x14ac:dyDescent="0.25">
      <c r="M35196" t="s">
        <v>272</v>
      </c>
    </row>
    <row r="35217" spans="13:13" x14ac:dyDescent="0.25">
      <c r="M35217" t="s">
        <v>273</v>
      </c>
    </row>
    <row r="35218" spans="13:13" x14ac:dyDescent="0.25">
      <c r="M35218" t="s">
        <v>274</v>
      </c>
    </row>
    <row r="35221" spans="13:13" x14ac:dyDescent="0.25">
      <c r="M35221" t="s">
        <v>275</v>
      </c>
    </row>
    <row r="35222" spans="13:13" x14ac:dyDescent="0.25">
      <c r="M35222" t="s">
        <v>276</v>
      </c>
    </row>
    <row r="35223" spans="13:13" x14ac:dyDescent="0.25">
      <c r="M35223" t="s">
        <v>277</v>
      </c>
    </row>
    <row r="35228" spans="13:13" x14ac:dyDescent="0.25">
      <c r="M35228" t="s">
        <v>278</v>
      </c>
    </row>
    <row r="35229" spans="13:13" x14ac:dyDescent="0.25">
      <c r="M35229" t="s">
        <v>279</v>
      </c>
    </row>
    <row r="35245" spans="13:13" x14ac:dyDescent="0.25">
      <c r="M35245" t="s">
        <v>203</v>
      </c>
    </row>
    <row r="35246" spans="13:13" x14ac:dyDescent="0.25">
      <c r="M35246" t="s">
        <v>204</v>
      </c>
    </row>
    <row r="35247" spans="13:13" x14ac:dyDescent="0.25">
      <c r="M35247" t="s">
        <v>205</v>
      </c>
    </row>
    <row r="35248" spans="13:13" x14ac:dyDescent="0.25">
      <c r="M35248" t="s">
        <v>206</v>
      </c>
    </row>
    <row r="35249" spans="13:13" x14ac:dyDescent="0.25">
      <c r="M35249" t="s">
        <v>207</v>
      </c>
    </row>
    <row r="35250" spans="13:13" x14ac:dyDescent="0.25">
      <c r="M35250" t="s">
        <v>208</v>
      </c>
    </row>
    <row r="35251" spans="13:13" x14ac:dyDescent="0.25">
      <c r="M35251" t="s">
        <v>209</v>
      </c>
    </row>
    <row r="35252" spans="13:13" x14ac:dyDescent="0.25">
      <c r="M35252" t="s">
        <v>210</v>
      </c>
    </row>
    <row r="35272" spans="13:13" x14ac:dyDescent="0.25">
      <c r="M35272" t="s">
        <v>211</v>
      </c>
    </row>
    <row r="35273" spans="13:13" x14ac:dyDescent="0.25">
      <c r="M35273" t="s">
        <v>212</v>
      </c>
    </row>
    <row r="35274" spans="13:13" x14ac:dyDescent="0.25">
      <c r="M35274" t="s">
        <v>213</v>
      </c>
    </row>
    <row r="35275" spans="13:13" x14ac:dyDescent="0.25">
      <c r="M35275" t="s">
        <v>214</v>
      </c>
    </row>
    <row r="35276" spans="13:13" x14ac:dyDescent="0.25">
      <c r="M35276" t="s">
        <v>215</v>
      </c>
    </row>
    <row r="35277" spans="13:13" x14ac:dyDescent="0.25">
      <c r="M35277" t="s">
        <v>216</v>
      </c>
    </row>
    <row r="35278" spans="13:13" x14ac:dyDescent="0.25">
      <c r="M35278" t="s">
        <v>217</v>
      </c>
    </row>
    <row r="35279" spans="13:13" x14ac:dyDescent="0.25">
      <c r="M35279" t="s">
        <v>218</v>
      </c>
    </row>
    <row r="35280" spans="13:13" x14ac:dyDescent="0.25">
      <c r="M35280" t="s">
        <v>219</v>
      </c>
    </row>
    <row r="35281" spans="13:13" x14ac:dyDescent="0.25">
      <c r="M35281" t="s">
        <v>220</v>
      </c>
    </row>
    <row r="35285" spans="13:13" x14ac:dyDescent="0.25">
      <c r="M35285" t="s">
        <v>221</v>
      </c>
    </row>
    <row r="35286" spans="13:13" x14ac:dyDescent="0.25">
      <c r="M35286" t="s">
        <v>222</v>
      </c>
    </row>
    <row r="35287" spans="13:13" x14ac:dyDescent="0.25">
      <c r="M35287" t="s">
        <v>223</v>
      </c>
    </row>
    <row r="35288" spans="13:13" x14ac:dyDescent="0.25">
      <c r="M35288" t="s">
        <v>224</v>
      </c>
    </row>
    <row r="35289" spans="13:13" x14ac:dyDescent="0.25">
      <c r="M35289" t="s">
        <v>225</v>
      </c>
    </row>
    <row r="35290" spans="13:13" x14ac:dyDescent="0.25">
      <c r="M35290" t="s">
        <v>226</v>
      </c>
    </row>
    <row r="35291" spans="13:13" x14ac:dyDescent="0.25">
      <c r="M35291" t="s">
        <v>227</v>
      </c>
    </row>
    <row r="35292" spans="13:13" x14ac:dyDescent="0.25">
      <c r="M35292" t="s">
        <v>228</v>
      </c>
    </row>
    <row r="35293" spans="13:13" x14ac:dyDescent="0.25">
      <c r="M35293" t="s">
        <v>229</v>
      </c>
    </row>
    <row r="35294" spans="13:13" x14ac:dyDescent="0.25">
      <c r="M35294" t="s">
        <v>230</v>
      </c>
    </row>
    <row r="35295" spans="13:13" x14ac:dyDescent="0.25">
      <c r="M35295" t="s">
        <v>231</v>
      </c>
    </row>
    <row r="35296" spans="13:13" x14ac:dyDescent="0.25">
      <c r="M35296" t="s">
        <v>232</v>
      </c>
    </row>
    <row r="35297" spans="13:13" x14ac:dyDescent="0.25">
      <c r="M35297" t="s">
        <v>233</v>
      </c>
    </row>
    <row r="35298" spans="13:13" x14ac:dyDescent="0.25">
      <c r="M35298" t="s">
        <v>234</v>
      </c>
    </row>
    <row r="35299" spans="13:13" x14ac:dyDescent="0.25">
      <c r="M35299" t="s">
        <v>235</v>
      </c>
    </row>
    <row r="35300" spans="13:13" x14ac:dyDescent="0.25">
      <c r="M35300" t="s">
        <v>236</v>
      </c>
    </row>
    <row r="35301" spans="13:13" x14ac:dyDescent="0.25">
      <c r="M35301" t="s">
        <v>237</v>
      </c>
    </row>
    <row r="35302" spans="13:13" x14ac:dyDescent="0.25">
      <c r="M35302" t="s">
        <v>238</v>
      </c>
    </row>
    <row r="35303" spans="13:13" x14ac:dyDescent="0.25">
      <c r="M35303" t="s">
        <v>239</v>
      </c>
    </row>
    <row r="35304" spans="13:13" x14ac:dyDescent="0.25">
      <c r="M35304" t="s">
        <v>240</v>
      </c>
    </row>
    <row r="35305" spans="13:13" x14ac:dyDescent="0.25">
      <c r="M35305" t="s">
        <v>241</v>
      </c>
    </row>
    <row r="35306" spans="13:13" x14ac:dyDescent="0.25">
      <c r="M35306" t="s">
        <v>242</v>
      </c>
    </row>
    <row r="35307" spans="13:13" x14ac:dyDescent="0.25">
      <c r="M35307" t="s">
        <v>243</v>
      </c>
    </row>
    <row r="35308" spans="13:13" x14ac:dyDescent="0.25">
      <c r="M35308" t="s">
        <v>244</v>
      </c>
    </row>
    <row r="35309" spans="13:13" x14ac:dyDescent="0.25">
      <c r="M35309" t="s">
        <v>245</v>
      </c>
    </row>
    <row r="35310" spans="13:13" x14ac:dyDescent="0.25">
      <c r="M35310" t="s">
        <v>246</v>
      </c>
    </row>
    <row r="35311" spans="13:13" x14ac:dyDescent="0.25">
      <c r="M35311" t="s">
        <v>247</v>
      </c>
    </row>
    <row r="35312" spans="13:13" x14ac:dyDescent="0.25">
      <c r="M35312" t="s">
        <v>248</v>
      </c>
    </row>
    <row r="35313" spans="13:13" x14ac:dyDescent="0.25">
      <c r="M35313" t="s">
        <v>249</v>
      </c>
    </row>
    <row r="35314" spans="13:13" x14ac:dyDescent="0.25">
      <c r="M35314" t="s">
        <v>250</v>
      </c>
    </row>
    <row r="35315" spans="13:13" x14ac:dyDescent="0.25">
      <c r="M35315" t="s">
        <v>251</v>
      </c>
    </row>
    <row r="35316" spans="13:13" x14ac:dyDescent="0.25">
      <c r="M35316" t="s">
        <v>252</v>
      </c>
    </row>
    <row r="35317" spans="13:13" x14ac:dyDescent="0.25">
      <c r="M35317" t="s">
        <v>253</v>
      </c>
    </row>
    <row r="35327" spans="13:13" x14ac:dyDescent="0.25">
      <c r="M35327" t="s">
        <v>254</v>
      </c>
    </row>
    <row r="35328" spans="13:13" x14ac:dyDescent="0.25">
      <c r="M35328" t="s">
        <v>83</v>
      </c>
    </row>
    <row r="35342" spans="13:13" x14ac:dyDescent="0.25">
      <c r="M35342" t="s">
        <v>255</v>
      </c>
    </row>
    <row r="35343" spans="13:13" x14ac:dyDescent="0.25">
      <c r="M35343" t="s">
        <v>256</v>
      </c>
    </row>
    <row r="35344" spans="13:13" x14ac:dyDescent="0.25">
      <c r="M35344" t="s">
        <v>257</v>
      </c>
    </row>
    <row r="35345" spans="13:13" x14ac:dyDescent="0.25">
      <c r="M35345" t="s">
        <v>258</v>
      </c>
    </row>
    <row r="35346" spans="13:13" x14ac:dyDescent="0.25">
      <c r="M35346" t="s">
        <v>259</v>
      </c>
    </row>
    <row r="35347" spans="13:13" x14ac:dyDescent="0.25">
      <c r="M35347" t="s">
        <v>260</v>
      </c>
    </row>
    <row r="35348" spans="13:13" x14ac:dyDescent="0.25">
      <c r="M35348" t="s">
        <v>261</v>
      </c>
    </row>
    <row r="35349" spans="13:13" x14ac:dyDescent="0.25">
      <c r="M35349" t="s">
        <v>262</v>
      </c>
    </row>
    <row r="35350" spans="13:13" x14ac:dyDescent="0.25">
      <c r="M35350" t="s">
        <v>263</v>
      </c>
    </row>
    <row r="35401" spans="13:13" x14ac:dyDescent="0.25">
      <c r="M35401" t="s">
        <v>264</v>
      </c>
    </row>
    <row r="35402" spans="13:13" x14ac:dyDescent="0.25">
      <c r="M35402" t="s">
        <v>265</v>
      </c>
    </row>
    <row r="35403" spans="13:13" x14ac:dyDescent="0.25">
      <c r="M35403" t="s">
        <v>266</v>
      </c>
    </row>
    <row r="35452" spans="13:13" x14ac:dyDescent="0.25">
      <c r="M35452" t="s">
        <v>267</v>
      </c>
    </row>
    <row r="35453" spans="13:13" x14ac:dyDescent="0.25">
      <c r="M35453" t="s">
        <v>268</v>
      </c>
    </row>
    <row r="35454" spans="13:13" x14ac:dyDescent="0.25">
      <c r="M35454" t="s">
        <v>269</v>
      </c>
    </row>
    <row r="35455" spans="13:13" x14ac:dyDescent="0.25">
      <c r="M35455" t="s">
        <v>270</v>
      </c>
    </row>
    <row r="35456" spans="13:13" x14ac:dyDescent="0.25">
      <c r="M35456" t="s">
        <v>271</v>
      </c>
    </row>
    <row r="35457" spans="13:13" x14ac:dyDescent="0.25">
      <c r="M35457" t="s">
        <v>272</v>
      </c>
    </row>
    <row r="35478" spans="13:13" x14ac:dyDescent="0.25">
      <c r="M35478" t="s">
        <v>273</v>
      </c>
    </row>
    <row r="35479" spans="13:13" x14ac:dyDescent="0.25">
      <c r="M35479" t="s">
        <v>274</v>
      </c>
    </row>
    <row r="35482" spans="13:13" x14ac:dyDescent="0.25">
      <c r="M35482" t="s">
        <v>275</v>
      </c>
    </row>
    <row r="35483" spans="13:13" x14ac:dyDescent="0.25">
      <c r="M35483" t="s">
        <v>276</v>
      </c>
    </row>
    <row r="35484" spans="13:13" x14ac:dyDescent="0.25">
      <c r="M35484" t="s">
        <v>277</v>
      </c>
    </row>
    <row r="35489" spans="13:13" x14ac:dyDescent="0.25">
      <c r="M35489" t="s">
        <v>278</v>
      </c>
    </row>
    <row r="35490" spans="13:13" x14ac:dyDescent="0.25">
      <c r="M35490" t="s">
        <v>279</v>
      </c>
    </row>
    <row r="35506" spans="13:13" x14ac:dyDescent="0.25">
      <c r="M35506" t="s">
        <v>203</v>
      </c>
    </row>
    <row r="35507" spans="13:13" x14ac:dyDescent="0.25">
      <c r="M35507" t="s">
        <v>204</v>
      </c>
    </row>
    <row r="35508" spans="13:13" x14ac:dyDescent="0.25">
      <c r="M35508" t="s">
        <v>205</v>
      </c>
    </row>
    <row r="35509" spans="13:13" x14ac:dyDescent="0.25">
      <c r="M35509" t="s">
        <v>206</v>
      </c>
    </row>
    <row r="35510" spans="13:13" x14ac:dyDescent="0.25">
      <c r="M35510" t="s">
        <v>207</v>
      </c>
    </row>
    <row r="35511" spans="13:13" x14ac:dyDescent="0.25">
      <c r="M35511" t="s">
        <v>208</v>
      </c>
    </row>
    <row r="35512" spans="13:13" x14ac:dyDescent="0.25">
      <c r="M35512" t="s">
        <v>209</v>
      </c>
    </row>
    <row r="35513" spans="13:13" x14ac:dyDescent="0.25">
      <c r="M35513" t="s">
        <v>210</v>
      </c>
    </row>
    <row r="35533" spans="13:13" x14ac:dyDescent="0.25">
      <c r="M35533" t="s">
        <v>211</v>
      </c>
    </row>
    <row r="35534" spans="13:13" x14ac:dyDescent="0.25">
      <c r="M35534" t="s">
        <v>212</v>
      </c>
    </row>
    <row r="35535" spans="13:13" x14ac:dyDescent="0.25">
      <c r="M35535" t="s">
        <v>213</v>
      </c>
    </row>
    <row r="35536" spans="13:13" x14ac:dyDescent="0.25">
      <c r="M35536" t="s">
        <v>214</v>
      </c>
    </row>
    <row r="35537" spans="13:13" x14ac:dyDescent="0.25">
      <c r="M35537" t="s">
        <v>215</v>
      </c>
    </row>
    <row r="35538" spans="13:13" x14ac:dyDescent="0.25">
      <c r="M35538" t="s">
        <v>216</v>
      </c>
    </row>
    <row r="35539" spans="13:13" x14ac:dyDescent="0.25">
      <c r="M35539" t="s">
        <v>217</v>
      </c>
    </row>
    <row r="35540" spans="13:13" x14ac:dyDescent="0.25">
      <c r="M35540" t="s">
        <v>218</v>
      </c>
    </row>
    <row r="35541" spans="13:13" x14ac:dyDescent="0.25">
      <c r="M35541" t="s">
        <v>219</v>
      </c>
    </row>
    <row r="35542" spans="13:13" x14ac:dyDescent="0.25">
      <c r="M35542" t="s">
        <v>220</v>
      </c>
    </row>
    <row r="35546" spans="13:13" x14ac:dyDescent="0.25">
      <c r="M35546" t="s">
        <v>221</v>
      </c>
    </row>
    <row r="35547" spans="13:13" x14ac:dyDescent="0.25">
      <c r="M35547" t="s">
        <v>222</v>
      </c>
    </row>
    <row r="35548" spans="13:13" x14ac:dyDescent="0.25">
      <c r="M35548" t="s">
        <v>223</v>
      </c>
    </row>
    <row r="35549" spans="13:13" x14ac:dyDescent="0.25">
      <c r="M35549" t="s">
        <v>224</v>
      </c>
    </row>
    <row r="35550" spans="13:13" x14ac:dyDescent="0.25">
      <c r="M35550" t="s">
        <v>225</v>
      </c>
    </row>
    <row r="35551" spans="13:13" x14ac:dyDescent="0.25">
      <c r="M35551" t="s">
        <v>226</v>
      </c>
    </row>
    <row r="35552" spans="13:13" x14ac:dyDescent="0.25">
      <c r="M35552" t="s">
        <v>227</v>
      </c>
    </row>
    <row r="35553" spans="13:13" x14ac:dyDescent="0.25">
      <c r="M35553" t="s">
        <v>228</v>
      </c>
    </row>
    <row r="35554" spans="13:13" x14ac:dyDescent="0.25">
      <c r="M35554" t="s">
        <v>229</v>
      </c>
    </row>
    <row r="35555" spans="13:13" x14ac:dyDescent="0.25">
      <c r="M35555" t="s">
        <v>230</v>
      </c>
    </row>
    <row r="35556" spans="13:13" x14ac:dyDescent="0.25">
      <c r="M35556" t="s">
        <v>231</v>
      </c>
    </row>
    <row r="35557" spans="13:13" x14ac:dyDescent="0.25">
      <c r="M35557" t="s">
        <v>232</v>
      </c>
    </row>
    <row r="35558" spans="13:13" x14ac:dyDescent="0.25">
      <c r="M35558" t="s">
        <v>233</v>
      </c>
    </row>
    <row r="35559" spans="13:13" x14ac:dyDescent="0.25">
      <c r="M35559" t="s">
        <v>234</v>
      </c>
    </row>
    <row r="35560" spans="13:13" x14ac:dyDescent="0.25">
      <c r="M35560" t="s">
        <v>235</v>
      </c>
    </row>
    <row r="35561" spans="13:13" x14ac:dyDescent="0.25">
      <c r="M35561" t="s">
        <v>236</v>
      </c>
    </row>
    <row r="35562" spans="13:13" x14ac:dyDescent="0.25">
      <c r="M35562" t="s">
        <v>237</v>
      </c>
    </row>
    <row r="35563" spans="13:13" x14ac:dyDescent="0.25">
      <c r="M35563" t="s">
        <v>238</v>
      </c>
    </row>
    <row r="35564" spans="13:13" x14ac:dyDescent="0.25">
      <c r="M35564" t="s">
        <v>239</v>
      </c>
    </row>
    <row r="35565" spans="13:13" x14ac:dyDescent="0.25">
      <c r="M35565" t="s">
        <v>240</v>
      </c>
    </row>
    <row r="35566" spans="13:13" x14ac:dyDescent="0.25">
      <c r="M35566" t="s">
        <v>241</v>
      </c>
    </row>
    <row r="35567" spans="13:13" x14ac:dyDescent="0.25">
      <c r="M35567" t="s">
        <v>242</v>
      </c>
    </row>
    <row r="35568" spans="13:13" x14ac:dyDescent="0.25">
      <c r="M35568" t="s">
        <v>243</v>
      </c>
    </row>
    <row r="35569" spans="13:13" x14ac:dyDescent="0.25">
      <c r="M35569" t="s">
        <v>244</v>
      </c>
    </row>
    <row r="35570" spans="13:13" x14ac:dyDescent="0.25">
      <c r="M35570" t="s">
        <v>245</v>
      </c>
    </row>
    <row r="35571" spans="13:13" x14ac:dyDescent="0.25">
      <c r="M35571" t="s">
        <v>246</v>
      </c>
    </row>
    <row r="35572" spans="13:13" x14ac:dyDescent="0.25">
      <c r="M35572" t="s">
        <v>247</v>
      </c>
    </row>
    <row r="35573" spans="13:13" x14ac:dyDescent="0.25">
      <c r="M35573" t="s">
        <v>248</v>
      </c>
    </row>
    <row r="35574" spans="13:13" x14ac:dyDescent="0.25">
      <c r="M35574" t="s">
        <v>249</v>
      </c>
    </row>
    <row r="35575" spans="13:13" x14ac:dyDescent="0.25">
      <c r="M35575" t="s">
        <v>250</v>
      </c>
    </row>
    <row r="35576" spans="13:13" x14ac:dyDescent="0.25">
      <c r="M35576" t="s">
        <v>251</v>
      </c>
    </row>
    <row r="35577" spans="13:13" x14ac:dyDescent="0.25">
      <c r="M35577" t="s">
        <v>252</v>
      </c>
    </row>
    <row r="35578" spans="13:13" x14ac:dyDescent="0.25">
      <c r="M35578" t="s">
        <v>253</v>
      </c>
    </row>
    <row r="35588" spans="13:13" x14ac:dyDescent="0.25">
      <c r="M35588" t="s">
        <v>254</v>
      </c>
    </row>
    <row r="35589" spans="13:13" x14ac:dyDescent="0.25">
      <c r="M35589" t="s">
        <v>83</v>
      </c>
    </row>
    <row r="35603" spans="13:13" x14ac:dyDescent="0.25">
      <c r="M35603" t="s">
        <v>255</v>
      </c>
    </row>
    <row r="35604" spans="13:13" x14ac:dyDescent="0.25">
      <c r="M35604" t="s">
        <v>256</v>
      </c>
    </row>
    <row r="35605" spans="13:13" x14ac:dyDescent="0.25">
      <c r="M35605" t="s">
        <v>257</v>
      </c>
    </row>
    <row r="35606" spans="13:13" x14ac:dyDescent="0.25">
      <c r="M35606" t="s">
        <v>258</v>
      </c>
    </row>
    <row r="35607" spans="13:13" x14ac:dyDescent="0.25">
      <c r="M35607" t="s">
        <v>259</v>
      </c>
    </row>
    <row r="35608" spans="13:13" x14ac:dyDescent="0.25">
      <c r="M35608" t="s">
        <v>260</v>
      </c>
    </row>
    <row r="35609" spans="13:13" x14ac:dyDescent="0.25">
      <c r="M35609" t="s">
        <v>261</v>
      </c>
    </row>
    <row r="35610" spans="13:13" x14ac:dyDescent="0.25">
      <c r="M35610" t="s">
        <v>262</v>
      </c>
    </row>
    <row r="35611" spans="13:13" x14ac:dyDescent="0.25">
      <c r="M35611" t="s">
        <v>263</v>
      </c>
    </row>
    <row r="35662" spans="13:13" x14ac:dyDescent="0.25">
      <c r="M35662" t="s">
        <v>264</v>
      </c>
    </row>
    <row r="35663" spans="13:13" x14ac:dyDescent="0.25">
      <c r="M35663" t="s">
        <v>265</v>
      </c>
    </row>
    <row r="35664" spans="13:13" x14ac:dyDescent="0.25">
      <c r="M35664" t="s">
        <v>266</v>
      </c>
    </row>
    <row r="35713" spans="13:13" x14ac:dyDescent="0.25">
      <c r="M35713" t="s">
        <v>267</v>
      </c>
    </row>
    <row r="35714" spans="13:13" x14ac:dyDescent="0.25">
      <c r="M35714" t="s">
        <v>268</v>
      </c>
    </row>
    <row r="35715" spans="13:13" x14ac:dyDescent="0.25">
      <c r="M35715" t="s">
        <v>269</v>
      </c>
    </row>
    <row r="35716" spans="13:13" x14ac:dyDescent="0.25">
      <c r="M35716" t="s">
        <v>270</v>
      </c>
    </row>
    <row r="35717" spans="13:13" x14ac:dyDescent="0.25">
      <c r="M35717" t="s">
        <v>271</v>
      </c>
    </row>
    <row r="35718" spans="13:13" x14ac:dyDescent="0.25">
      <c r="M35718" t="s">
        <v>272</v>
      </c>
    </row>
    <row r="35739" spans="13:13" x14ac:dyDescent="0.25">
      <c r="M35739" t="s">
        <v>273</v>
      </c>
    </row>
    <row r="35740" spans="13:13" x14ac:dyDescent="0.25">
      <c r="M35740" t="s">
        <v>274</v>
      </c>
    </row>
    <row r="35743" spans="13:13" x14ac:dyDescent="0.25">
      <c r="M35743" t="s">
        <v>275</v>
      </c>
    </row>
    <row r="35744" spans="13:13" x14ac:dyDescent="0.25">
      <c r="M35744" t="s">
        <v>276</v>
      </c>
    </row>
    <row r="35745" spans="13:13" x14ac:dyDescent="0.25">
      <c r="M35745" t="s">
        <v>277</v>
      </c>
    </row>
    <row r="35750" spans="13:13" x14ac:dyDescent="0.25">
      <c r="M35750" t="s">
        <v>278</v>
      </c>
    </row>
    <row r="35751" spans="13:13" x14ac:dyDescent="0.25">
      <c r="M35751" t="s">
        <v>279</v>
      </c>
    </row>
    <row r="35767" spans="13:13" x14ac:dyDescent="0.25">
      <c r="M35767" t="s">
        <v>203</v>
      </c>
    </row>
    <row r="35768" spans="13:13" x14ac:dyDescent="0.25">
      <c r="M35768" t="s">
        <v>204</v>
      </c>
    </row>
    <row r="35769" spans="13:13" x14ac:dyDescent="0.25">
      <c r="M35769" t="s">
        <v>205</v>
      </c>
    </row>
    <row r="35770" spans="13:13" x14ac:dyDescent="0.25">
      <c r="M35770" t="s">
        <v>206</v>
      </c>
    </row>
    <row r="35771" spans="13:13" x14ac:dyDescent="0.25">
      <c r="M35771" t="s">
        <v>207</v>
      </c>
    </row>
    <row r="35772" spans="13:13" x14ac:dyDescent="0.25">
      <c r="M35772" t="s">
        <v>208</v>
      </c>
    </row>
    <row r="35773" spans="13:13" x14ac:dyDescent="0.25">
      <c r="M35773" t="s">
        <v>209</v>
      </c>
    </row>
    <row r="35774" spans="13:13" x14ac:dyDescent="0.25">
      <c r="M35774" t="s">
        <v>210</v>
      </c>
    </row>
    <row r="35794" spans="13:13" x14ac:dyDescent="0.25">
      <c r="M35794" t="s">
        <v>211</v>
      </c>
    </row>
    <row r="35795" spans="13:13" x14ac:dyDescent="0.25">
      <c r="M35795" t="s">
        <v>212</v>
      </c>
    </row>
    <row r="35796" spans="13:13" x14ac:dyDescent="0.25">
      <c r="M35796" t="s">
        <v>213</v>
      </c>
    </row>
    <row r="35797" spans="13:13" x14ac:dyDescent="0.25">
      <c r="M35797" t="s">
        <v>214</v>
      </c>
    </row>
    <row r="35798" spans="13:13" x14ac:dyDescent="0.25">
      <c r="M35798" t="s">
        <v>215</v>
      </c>
    </row>
    <row r="35799" spans="13:13" x14ac:dyDescent="0.25">
      <c r="M35799" t="s">
        <v>216</v>
      </c>
    </row>
    <row r="35800" spans="13:13" x14ac:dyDescent="0.25">
      <c r="M35800" t="s">
        <v>217</v>
      </c>
    </row>
    <row r="35801" spans="13:13" x14ac:dyDescent="0.25">
      <c r="M35801" t="s">
        <v>218</v>
      </c>
    </row>
    <row r="35802" spans="13:13" x14ac:dyDescent="0.25">
      <c r="M35802" t="s">
        <v>219</v>
      </c>
    </row>
    <row r="35803" spans="13:13" x14ac:dyDescent="0.25">
      <c r="M35803" t="s">
        <v>220</v>
      </c>
    </row>
    <row r="35807" spans="13:13" x14ac:dyDescent="0.25">
      <c r="M35807" t="s">
        <v>221</v>
      </c>
    </row>
    <row r="35808" spans="13:13" x14ac:dyDescent="0.25">
      <c r="M35808" t="s">
        <v>222</v>
      </c>
    </row>
    <row r="35809" spans="13:13" x14ac:dyDescent="0.25">
      <c r="M35809" t="s">
        <v>223</v>
      </c>
    </row>
    <row r="35810" spans="13:13" x14ac:dyDescent="0.25">
      <c r="M35810" t="s">
        <v>224</v>
      </c>
    </row>
    <row r="35811" spans="13:13" x14ac:dyDescent="0.25">
      <c r="M35811" t="s">
        <v>225</v>
      </c>
    </row>
    <row r="35812" spans="13:13" x14ac:dyDescent="0.25">
      <c r="M35812" t="s">
        <v>226</v>
      </c>
    </row>
    <row r="35813" spans="13:13" x14ac:dyDescent="0.25">
      <c r="M35813" t="s">
        <v>227</v>
      </c>
    </row>
    <row r="35814" spans="13:13" x14ac:dyDescent="0.25">
      <c r="M35814" t="s">
        <v>228</v>
      </c>
    </row>
    <row r="35815" spans="13:13" x14ac:dyDescent="0.25">
      <c r="M35815" t="s">
        <v>229</v>
      </c>
    </row>
    <row r="35816" spans="13:13" x14ac:dyDescent="0.25">
      <c r="M35816" t="s">
        <v>230</v>
      </c>
    </row>
    <row r="35817" spans="13:13" x14ac:dyDescent="0.25">
      <c r="M35817" t="s">
        <v>231</v>
      </c>
    </row>
    <row r="35818" spans="13:13" x14ac:dyDescent="0.25">
      <c r="M35818" t="s">
        <v>232</v>
      </c>
    </row>
    <row r="35819" spans="13:13" x14ac:dyDescent="0.25">
      <c r="M35819" t="s">
        <v>233</v>
      </c>
    </row>
    <row r="35820" spans="13:13" x14ac:dyDescent="0.25">
      <c r="M35820" t="s">
        <v>234</v>
      </c>
    </row>
    <row r="35821" spans="13:13" x14ac:dyDescent="0.25">
      <c r="M35821" t="s">
        <v>235</v>
      </c>
    </row>
    <row r="35822" spans="13:13" x14ac:dyDescent="0.25">
      <c r="M35822" t="s">
        <v>236</v>
      </c>
    </row>
    <row r="35823" spans="13:13" x14ac:dyDescent="0.25">
      <c r="M35823" t="s">
        <v>237</v>
      </c>
    </row>
    <row r="35824" spans="13:13" x14ac:dyDescent="0.25">
      <c r="M35824" t="s">
        <v>238</v>
      </c>
    </row>
    <row r="35825" spans="13:13" x14ac:dyDescent="0.25">
      <c r="M35825" t="s">
        <v>239</v>
      </c>
    </row>
    <row r="35826" spans="13:13" x14ac:dyDescent="0.25">
      <c r="M35826" t="s">
        <v>240</v>
      </c>
    </row>
    <row r="35827" spans="13:13" x14ac:dyDescent="0.25">
      <c r="M35827" t="s">
        <v>241</v>
      </c>
    </row>
    <row r="35828" spans="13:13" x14ac:dyDescent="0.25">
      <c r="M35828" t="s">
        <v>242</v>
      </c>
    </row>
    <row r="35829" spans="13:13" x14ac:dyDescent="0.25">
      <c r="M35829" t="s">
        <v>243</v>
      </c>
    </row>
    <row r="35830" spans="13:13" x14ac:dyDescent="0.25">
      <c r="M35830" t="s">
        <v>244</v>
      </c>
    </row>
    <row r="35831" spans="13:13" x14ac:dyDescent="0.25">
      <c r="M35831" t="s">
        <v>245</v>
      </c>
    </row>
    <row r="35832" spans="13:13" x14ac:dyDescent="0.25">
      <c r="M35832" t="s">
        <v>246</v>
      </c>
    </row>
    <row r="35833" spans="13:13" x14ac:dyDescent="0.25">
      <c r="M35833" t="s">
        <v>247</v>
      </c>
    </row>
    <row r="35834" spans="13:13" x14ac:dyDescent="0.25">
      <c r="M35834" t="s">
        <v>248</v>
      </c>
    </row>
    <row r="35835" spans="13:13" x14ac:dyDescent="0.25">
      <c r="M35835" t="s">
        <v>249</v>
      </c>
    </row>
    <row r="35836" spans="13:13" x14ac:dyDescent="0.25">
      <c r="M35836" t="s">
        <v>250</v>
      </c>
    </row>
    <row r="35837" spans="13:13" x14ac:dyDescent="0.25">
      <c r="M35837" t="s">
        <v>251</v>
      </c>
    </row>
    <row r="35838" spans="13:13" x14ac:dyDescent="0.25">
      <c r="M35838" t="s">
        <v>252</v>
      </c>
    </row>
    <row r="35839" spans="13:13" x14ac:dyDescent="0.25">
      <c r="M35839" t="s">
        <v>253</v>
      </c>
    </row>
    <row r="35849" spans="13:13" x14ac:dyDescent="0.25">
      <c r="M35849" t="s">
        <v>254</v>
      </c>
    </row>
    <row r="35850" spans="13:13" x14ac:dyDescent="0.25">
      <c r="M35850" t="s">
        <v>83</v>
      </c>
    </row>
    <row r="35864" spans="13:13" x14ac:dyDescent="0.25">
      <c r="M35864" t="s">
        <v>255</v>
      </c>
    </row>
    <row r="35865" spans="13:13" x14ac:dyDescent="0.25">
      <c r="M35865" t="s">
        <v>256</v>
      </c>
    </row>
    <row r="35866" spans="13:13" x14ac:dyDescent="0.25">
      <c r="M35866" t="s">
        <v>257</v>
      </c>
    </row>
    <row r="35867" spans="13:13" x14ac:dyDescent="0.25">
      <c r="M35867" t="s">
        <v>258</v>
      </c>
    </row>
    <row r="35868" spans="13:13" x14ac:dyDescent="0.25">
      <c r="M35868" t="s">
        <v>259</v>
      </c>
    </row>
    <row r="35869" spans="13:13" x14ac:dyDescent="0.25">
      <c r="M35869" t="s">
        <v>260</v>
      </c>
    </row>
    <row r="35870" spans="13:13" x14ac:dyDescent="0.25">
      <c r="M35870" t="s">
        <v>261</v>
      </c>
    </row>
    <row r="35871" spans="13:13" x14ac:dyDescent="0.25">
      <c r="M35871" t="s">
        <v>262</v>
      </c>
    </row>
    <row r="35872" spans="13:13" x14ac:dyDescent="0.25">
      <c r="M35872" t="s">
        <v>263</v>
      </c>
    </row>
    <row r="35923" spans="13:13" x14ac:dyDescent="0.25">
      <c r="M35923" t="s">
        <v>264</v>
      </c>
    </row>
    <row r="35924" spans="13:13" x14ac:dyDescent="0.25">
      <c r="M35924" t="s">
        <v>265</v>
      </c>
    </row>
    <row r="35925" spans="13:13" x14ac:dyDescent="0.25">
      <c r="M35925" t="s">
        <v>266</v>
      </c>
    </row>
    <row r="35974" spans="13:13" x14ac:dyDescent="0.25">
      <c r="M35974" t="s">
        <v>267</v>
      </c>
    </row>
    <row r="35975" spans="13:13" x14ac:dyDescent="0.25">
      <c r="M35975" t="s">
        <v>268</v>
      </c>
    </row>
    <row r="35976" spans="13:13" x14ac:dyDescent="0.25">
      <c r="M35976" t="s">
        <v>269</v>
      </c>
    </row>
    <row r="35977" spans="13:13" x14ac:dyDescent="0.25">
      <c r="M35977" t="s">
        <v>270</v>
      </c>
    </row>
    <row r="35978" spans="13:13" x14ac:dyDescent="0.25">
      <c r="M35978" t="s">
        <v>271</v>
      </c>
    </row>
    <row r="35979" spans="13:13" x14ac:dyDescent="0.25">
      <c r="M35979" t="s">
        <v>272</v>
      </c>
    </row>
    <row r="36000" spans="13:13" x14ac:dyDescent="0.25">
      <c r="M36000" t="s">
        <v>273</v>
      </c>
    </row>
    <row r="36001" spans="13:13" x14ac:dyDescent="0.25">
      <c r="M36001" t="s">
        <v>274</v>
      </c>
    </row>
    <row r="36004" spans="13:13" x14ac:dyDescent="0.25">
      <c r="M36004" t="s">
        <v>275</v>
      </c>
    </row>
    <row r="36005" spans="13:13" x14ac:dyDescent="0.25">
      <c r="M36005" t="s">
        <v>276</v>
      </c>
    </row>
    <row r="36006" spans="13:13" x14ac:dyDescent="0.25">
      <c r="M36006" t="s">
        <v>277</v>
      </c>
    </row>
    <row r="36011" spans="13:13" x14ac:dyDescent="0.25">
      <c r="M36011" t="s">
        <v>278</v>
      </c>
    </row>
    <row r="36012" spans="13:13" x14ac:dyDescent="0.25">
      <c r="M36012" t="s">
        <v>279</v>
      </c>
    </row>
    <row r="36028" spans="13:13" x14ac:dyDescent="0.25">
      <c r="M36028" t="s">
        <v>203</v>
      </c>
    </row>
    <row r="36029" spans="13:13" x14ac:dyDescent="0.25">
      <c r="M36029" t="s">
        <v>204</v>
      </c>
    </row>
    <row r="36030" spans="13:13" x14ac:dyDescent="0.25">
      <c r="M36030" t="s">
        <v>205</v>
      </c>
    </row>
    <row r="36031" spans="13:13" x14ac:dyDescent="0.25">
      <c r="M36031" t="s">
        <v>206</v>
      </c>
    </row>
    <row r="36032" spans="13:13" x14ac:dyDescent="0.25">
      <c r="M36032" t="s">
        <v>207</v>
      </c>
    </row>
    <row r="36033" spans="13:13" x14ac:dyDescent="0.25">
      <c r="M36033" t="s">
        <v>208</v>
      </c>
    </row>
    <row r="36034" spans="13:13" x14ac:dyDescent="0.25">
      <c r="M36034" t="s">
        <v>209</v>
      </c>
    </row>
    <row r="36035" spans="13:13" x14ac:dyDescent="0.25">
      <c r="M36035" t="s">
        <v>210</v>
      </c>
    </row>
    <row r="36055" spans="13:13" x14ac:dyDescent="0.25">
      <c r="M36055" t="s">
        <v>211</v>
      </c>
    </row>
    <row r="36056" spans="13:13" x14ac:dyDescent="0.25">
      <c r="M36056" t="s">
        <v>212</v>
      </c>
    </row>
    <row r="36057" spans="13:13" x14ac:dyDescent="0.25">
      <c r="M36057" t="s">
        <v>213</v>
      </c>
    </row>
    <row r="36058" spans="13:13" x14ac:dyDescent="0.25">
      <c r="M36058" t="s">
        <v>214</v>
      </c>
    </row>
    <row r="36059" spans="13:13" x14ac:dyDescent="0.25">
      <c r="M36059" t="s">
        <v>215</v>
      </c>
    </row>
    <row r="36060" spans="13:13" x14ac:dyDescent="0.25">
      <c r="M36060" t="s">
        <v>216</v>
      </c>
    </row>
    <row r="36061" spans="13:13" x14ac:dyDescent="0.25">
      <c r="M36061" t="s">
        <v>217</v>
      </c>
    </row>
    <row r="36062" spans="13:13" x14ac:dyDescent="0.25">
      <c r="M36062" t="s">
        <v>218</v>
      </c>
    </row>
    <row r="36063" spans="13:13" x14ac:dyDescent="0.25">
      <c r="M36063" t="s">
        <v>219</v>
      </c>
    </row>
    <row r="36064" spans="13:13" x14ac:dyDescent="0.25">
      <c r="M36064" t="s">
        <v>220</v>
      </c>
    </row>
    <row r="36068" spans="13:13" x14ac:dyDescent="0.25">
      <c r="M36068" t="s">
        <v>221</v>
      </c>
    </row>
    <row r="36069" spans="13:13" x14ac:dyDescent="0.25">
      <c r="M36069" t="s">
        <v>222</v>
      </c>
    </row>
    <row r="36070" spans="13:13" x14ac:dyDescent="0.25">
      <c r="M36070" t="s">
        <v>223</v>
      </c>
    </row>
    <row r="36071" spans="13:13" x14ac:dyDescent="0.25">
      <c r="M36071" t="s">
        <v>224</v>
      </c>
    </row>
    <row r="36072" spans="13:13" x14ac:dyDescent="0.25">
      <c r="M36072" t="s">
        <v>225</v>
      </c>
    </row>
    <row r="36073" spans="13:13" x14ac:dyDescent="0.25">
      <c r="M36073" t="s">
        <v>226</v>
      </c>
    </row>
    <row r="36074" spans="13:13" x14ac:dyDescent="0.25">
      <c r="M36074" t="s">
        <v>227</v>
      </c>
    </row>
    <row r="36075" spans="13:13" x14ac:dyDescent="0.25">
      <c r="M36075" t="s">
        <v>228</v>
      </c>
    </row>
    <row r="36076" spans="13:13" x14ac:dyDescent="0.25">
      <c r="M36076" t="s">
        <v>229</v>
      </c>
    </row>
    <row r="36077" spans="13:13" x14ac:dyDescent="0.25">
      <c r="M36077" t="s">
        <v>230</v>
      </c>
    </row>
    <row r="36078" spans="13:13" x14ac:dyDescent="0.25">
      <c r="M36078" t="s">
        <v>231</v>
      </c>
    </row>
    <row r="36079" spans="13:13" x14ac:dyDescent="0.25">
      <c r="M36079" t="s">
        <v>232</v>
      </c>
    </row>
    <row r="36080" spans="13:13" x14ac:dyDescent="0.25">
      <c r="M36080" t="s">
        <v>233</v>
      </c>
    </row>
    <row r="36081" spans="13:13" x14ac:dyDescent="0.25">
      <c r="M36081" t="s">
        <v>234</v>
      </c>
    </row>
    <row r="36082" spans="13:13" x14ac:dyDescent="0.25">
      <c r="M36082" t="s">
        <v>235</v>
      </c>
    </row>
    <row r="36083" spans="13:13" x14ac:dyDescent="0.25">
      <c r="M36083" t="s">
        <v>236</v>
      </c>
    </row>
    <row r="36084" spans="13:13" x14ac:dyDescent="0.25">
      <c r="M36084" t="s">
        <v>237</v>
      </c>
    </row>
    <row r="36085" spans="13:13" x14ac:dyDescent="0.25">
      <c r="M36085" t="s">
        <v>238</v>
      </c>
    </row>
    <row r="36086" spans="13:13" x14ac:dyDescent="0.25">
      <c r="M36086" t="s">
        <v>239</v>
      </c>
    </row>
    <row r="36087" spans="13:13" x14ac:dyDescent="0.25">
      <c r="M36087" t="s">
        <v>240</v>
      </c>
    </row>
    <row r="36088" spans="13:13" x14ac:dyDescent="0.25">
      <c r="M36088" t="s">
        <v>241</v>
      </c>
    </row>
    <row r="36089" spans="13:13" x14ac:dyDescent="0.25">
      <c r="M36089" t="s">
        <v>242</v>
      </c>
    </row>
    <row r="36090" spans="13:13" x14ac:dyDescent="0.25">
      <c r="M36090" t="s">
        <v>243</v>
      </c>
    </row>
    <row r="36091" spans="13:13" x14ac:dyDescent="0.25">
      <c r="M36091" t="s">
        <v>244</v>
      </c>
    </row>
    <row r="36092" spans="13:13" x14ac:dyDescent="0.25">
      <c r="M36092" t="s">
        <v>245</v>
      </c>
    </row>
    <row r="36093" spans="13:13" x14ac:dyDescent="0.25">
      <c r="M36093" t="s">
        <v>246</v>
      </c>
    </row>
    <row r="36094" spans="13:13" x14ac:dyDescent="0.25">
      <c r="M36094" t="s">
        <v>247</v>
      </c>
    </row>
    <row r="36095" spans="13:13" x14ac:dyDescent="0.25">
      <c r="M36095" t="s">
        <v>248</v>
      </c>
    </row>
    <row r="36096" spans="13:13" x14ac:dyDescent="0.25">
      <c r="M36096" t="s">
        <v>249</v>
      </c>
    </row>
    <row r="36097" spans="13:13" x14ac:dyDescent="0.25">
      <c r="M36097" t="s">
        <v>250</v>
      </c>
    </row>
    <row r="36098" spans="13:13" x14ac:dyDescent="0.25">
      <c r="M36098" t="s">
        <v>251</v>
      </c>
    </row>
    <row r="36099" spans="13:13" x14ac:dyDescent="0.25">
      <c r="M36099" t="s">
        <v>252</v>
      </c>
    </row>
    <row r="36100" spans="13:13" x14ac:dyDescent="0.25">
      <c r="M36100" t="s">
        <v>253</v>
      </c>
    </row>
    <row r="36110" spans="13:13" x14ac:dyDescent="0.25">
      <c r="M36110" t="s">
        <v>254</v>
      </c>
    </row>
    <row r="36111" spans="13:13" x14ac:dyDescent="0.25">
      <c r="M36111" t="s">
        <v>83</v>
      </c>
    </row>
    <row r="36125" spans="13:13" x14ac:dyDescent="0.25">
      <c r="M36125" t="s">
        <v>255</v>
      </c>
    </row>
    <row r="36126" spans="13:13" x14ac:dyDescent="0.25">
      <c r="M36126" t="s">
        <v>256</v>
      </c>
    </row>
    <row r="36127" spans="13:13" x14ac:dyDescent="0.25">
      <c r="M36127" t="s">
        <v>257</v>
      </c>
    </row>
    <row r="36128" spans="13:13" x14ac:dyDescent="0.25">
      <c r="M36128" t="s">
        <v>258</v>
      </c>
    </row>
    <row r="36129" spans="13:13" x14ac:dyDescent="0.25">
      <c r="M36129" t="s">
        <v>259</v>
      </c>
    </row>
    <row r="36130" spans="13:13" x14ac:dyDescent="0.25">
      <c r="M36130" t="s">
        <v>260</v>
      </c>
    </row>
    <row r="36131" spans="13:13" x14ac:dyDescent="0.25">
      <c r="M36131" t="s">
        <v>261</v>
      </c>
    </row>
    <row r="36132" spans="13:13" x14ac:dyDescent="0.25">
      <c r="M36132" t="s">
        <v>262</v>
      </c>
    </row>
    <row r="36133" spans="13:13" x14ac:dyDescent="0.25">
      <c r="M36133" t="s">
        <v>263</v>
      </c>
    </row>
    <row r="36184" spans="13:13" x14ac:dyDescent="0.25">
      <c r="M36184" t="s">
        <v>264</v>
      </c>
    </row>
    <row r="36185" spans="13:13" x14ac:dyDescent="0.25">
      <c r="M36185" t="s">
        <v>265</v>
      </c>
    </row>
    <row r="36186" spans="13:13" x14ac:dyDescent="0.25">
      <c r="M36186" t="s">
        <v>266</v>
      </c>
    </row>
    <row r="36235" spans="13:13" x14ac:dyDescent="0.25">
      <c r="M36235" t="s">
        <v>267</v>
      </c>
    </row>
    <row r="36236" spans="13:13" x14ac:dyDescent="0.25">
      <c r="M36236" t="s">
        <v>268</v>
      </c>
    </row>
    <row r="36237" spans="13:13" x14ac:dyDescent="0.25">
      <c r="M36237" t="s">
        <v>269</v>
      </c>
    </row>
    <row r="36238" spans="13:13" x14ac:dyDescent="0.25">
      <c r="M36238" t="s">
        <v>270</v>
      </c>
    </row>
    <row r="36239" spans="13:13" x14ac:dyDescent="0.25">
      <c r="M36239" t="s">
        <v>271</v>
      </c>
    </row>
    <row r="36240" spans="13:13" x14ac:dyDescent="0.25">
      <c r="M36240" t="s">
        <v>272</v>
      </c>
    </row>
    <row r="36261" spans="13:13" x14ac:dyDescent="0.25">
      <c r="M36261" t="s">
        <v>273</v>
      </c>
    </row>
    <row r="36262" spans="13:13" x14ac:dyDescent="0.25">
      <c r="M36262" t="s">
        <v>274</v>
      </c>
    </row>
    <row r="36265" spans="13:13" x14ac:dyDescent="0.25">
      <c r="M36265" t="s">
        <v>275</v>
      </c>
    </row>
    <row r="36266" spans="13:13" x14ac:dyDescent="0.25">
      <c r="M36266" t="s">
        <v>276</v>
      </c>
    </row>
    <row r="36267" spans="13:13" x14ac:dyDescent="0.25">
      <c r="M36267" t="s">
        <v>277</v>
      </c>
    </row>
    <row r="36272" spans="13:13" x14ac:dyDescent="0.25">
      <c r="M36272" t="s">
        <v>278</v>
      </c>
    </row>
    <row r="36273" spans="13:13" x14ac:dyDescent="0.25">
      <c r="M36273" t="s">
        <v>279</v>
      </c>
    </row>
    <row r="36289" spans="13:13" x14ac:dyDescent="0.25">
      <c r="M36289" t="s">
        <v>203</v>
      </c>
    </row>
    <row r="36290" spans="13:13" x14ac:dyDescent="0.25">
      <c r="M36290" t="s">
        <v>204</v>
      </c>
    </row>
    <row r="36291" spans="13:13" x14ac:dyDescent="0.25">
      <c r="M36291" t="s">
        <v>205</v>
      </c>
    </row>
    <row r="36292" spans="13:13" x14ac:dyDescent="0.25">
      <c r="M36292" t="s">
        <v>206</v>
      </c>
    </row>
    <row r="36293" spans="13:13" x14ac:dyDescent="0.25">
      <c r="M36293" t="s">
        <v>207</v>
      </c>
    </row>
    <row r="36294" spans="13:13" x14ac:dyDescent="0.25">
      <c r="M36294" t="s">
        <v>208</v>
      </c>
    </row>
    <row r="36295" spans="13:13" x14ac:dyDescent="0.25">
      <c r="M36295" t="s">
        <v>209</v>
      </c>
    </row>
    <row r="36296" spans="13:13" x14ac:dyDescent="0.25">
      <c r="M36296" t="s">
        <v>210</v>
      </c>
    </row>
    <row r="36316" spans="13:13" x14ac:dyDescent="0.25">
      <c r="M36316" t="s">
        <v>211</v>
      </c>
    </row>
    <row r="36317" spans="13:13" x14ac:dyDescent="0.25">
      <c r="M36317" t="s">
        <v>212</v>
      </c>
    </row>
    <row r="36318" spans="13:13" x14ac:dyDescent="0.25">
      <c r="M36318" t="s">
        <v>213</v>
      </c>
    </row>
    <row r="36319" spans="13:13" x14ac:dyDescent="0.25">
      <c r="M36319" t="s">
        <v>214</v>
      </c>
    </row>
    <row r="36320" spans="13:13" x14ac:dyDescent="0.25">
      <c r="M36320" t="s">
        <v>215</v>
      </c>
    </row>
    <row r="36321" spans="13:13" x14ac:dyDescent="0.25">
      <c r="M36321" t="s">
        <v>216</v>
      </c>
    </row>
    <row r="36322" spans="13:13" x14ac:dyDescent="0.25">
      <c r="M36322" t="s">
        <v>217</v>
      </c>
    </row>
    <row r="36323" spans="13:13" x14ac:dyDescent="0.25">
      <c r="M36323" t="s">
        <v>218</v>
      </c>
    </row>
    <row r="36324" spans="13:13" x14ac:dyDescent="0.25">
      <c r="M36324" t="s">
        <v>219</v>
      </c>
    </row>
    <row r="36325" spans="13:13" x14ac:dyDescent="0.25">
      <c r="M36325" t="s">
        <v>220</v>
      </c>
    </row>
    <row r="36329" spans="13:13" x14ac:dyDescent="0.25">
      <c r="M36329" t="s">
        <v>221</v>
      </c>
    </row>
    <row r="36330" spans="13:13" x14ac:dyDescent="0.25">
      <c r="M36330" t="s">
        <v>222</v>
      </c>
    </row>
    <row r="36331" spans="13:13" x14ac:dyDescent="0.25">
      <c r="M36331" t="s">
        <v>223</v>
      </c>
    </row>
    <row r="36332" spans="13:13" x14ac:dyDescent="0.25">
      <c r="M36332" t="s">
        <v>224</v>
      </c>
    </row>
    <row r="36333" spans="13:13" x14ac:dyDescent="0.25">
      <c r="M36333" t="s">
        <v>225</v>
      </c>
    </row>
    <row r="36334" spans="13:13" x14ac:dyDescent="0.25">
      <c r="M36334" t="s">
        <v>226</v>
      </c>
    </row>
    <row r="36335" spans="13:13" x14ac:dyDescent="0.25">
      <c r="M36335" t="s">
        <v>227</v>
      </c>
    </row>
    <row r="36336" spans="13:13" x14ac:dyDescent="0.25">
      <c r="M36336" t="s">
        <v>228</v>
      </c>
    </row>
    <row r="36337" spans="13:13" x14ac:dyDescent="0.25">
      <c r="M36337" t="s">
        <v>229</v>
      </c>
    </row>
    <row r="36338" spans="13:13" x14ac:dyDescent="0.25">
      <c r="M36338" t="s">
        <v>230</v>
      </c>
    </row>
    <row r="36339" spans="13:13" x14ac:dyDescent="0.25">
      <c r="M36339" t="s">
        <v>231</v>
      </c>
    </row>
    <row r="36340" spans="13:13" x14ac:dyDescent="0.25">
      <c r="M36340" t="s">
        <v>232</v>
      </c>
    </row>
    <row r="36341" spans="13:13" x14ac:dyDescent="0.25">
      <c r="M36341" t="s">
        <v>233</v>
      </c>
    </row>
    <row r="36342" spans="13:13" x14ac:dyDescent="0.25">
      <c r="M36342" t="s">
        <v>234</v>
      </c>
    </row>
    <row r="36343" spans="13:13" x14ac:dyDescent="0.25">
      <c r="M36343" t="s">
        <v>235</v>
      </c>
    </row>
    <row r="36344" spans="13:13" x14ac:dyDescent="0.25">
      <c r="M36344" t="s">
        <v>236</v>
      </c>
    </row>
    <row r="36345" spans="13:13" x14ac:dyDescent="0.25">
      <c r="M36345" t="s">
        <v>237</v>
      </c>
    </row>
    <row r="36346" spans="13:13" x14ac:dyDescent="0.25">
      <c r="M36346" t="s">
        <v>238</v>
      </c>
    </row>
    <row r="36347" spans="13:13" x14ac:dyDescent="0.25">
      <c r="M36347" t="s">
        <v>239</v>
      </c>
    </row>
    <row r="36348" spans="13:13" x14ac:dyDescent="0.25">
      <c r="M36348" t="s">
        <v>240</v>
      </c>
    </row>
    <row r="36349" spans="13:13" x14ac:dyDescent="0.25">
      <c r="M36349" t="s">
        <v>241</v>
      </c>
    </row>
    <row r="36350" spans="13:13" x14ac:dyDescent="0.25">
      <c r="M36350" t="s">
        <v>242</v>
      </c>
    </row>
    <row r="36351" spans="13:13" x14ac:dyDescent="0.25">
      <c r="M36351" t="s">
        <v>243</v>
      </c>
    </row>
    <row r="36352" spans="13:13" x14ac:dyDescent="0.25">
      <c r="M36352" t="s">
        <v>244</v>
      </c>
    </row>
    <row r="36353" spans="13:13" x14ac:dyDescent="0.25">
      <c r="M36353" t="s">
        <v>245</v>
      </c>
    </row>
    <row r="36354" spans="13:13" x14ac:dyDescent="0.25">
      <c r="M36354" t="s">
        <v>246</v>
      </c>
    </row>
    <row r="36355" spans="13:13" x14ac:dyDescent="0.25">
      <c r="M36355" t="s">
        <v>247</v>
      </c>
    </row>
    <row r="36356" spans="13:13" x14ac:dyDescent="0.25">
      <c r="M36356" t="s">
        <v>248</v>
      </c>
    </row>
    <row r="36357" spans="13:13" x14ac:dyDescent="0.25">
      <c r="M36357" t="s">
        <v>249</v>
      </c>
    </row>
    <row r="36358" spans="13:13" x14ac:dyDescent="0.25">
      <c r="M36358" t="s">
        <v>250</v>
      </c>
    </row>
    <row r="36359" spans="13:13" x14ac:dyDescent="0.25">
      <c r="M36359" t="s">
        <v>251</v>
      </c>
    </row>
    <row r="36360" spans="13:13" x14ac:dyDescent="0.25">
      <c r="M36360" t="s">
        <v>252</v>
      </c>
    </row>
    <row r="36361" spans="13:13" x14ac:dyDescent="0.25">
      <c r="M36361" t="s">
        <v>253</v>
      </c>
    </row>
    <row r="36371" spans="13:13" x14ac:dyDescent="0.25">
      <c r="M36371" t="s">
        <v>254</v>
      </c>
    </row>
    <row r="36372" spans="13:13" x14ac:dyDescent="0.25">
      <c r="M36372" t="s">
        <v>83</v>
      </c>
    </row>
    <row r="36386" spans="13:13" x14ac:dyDescent="0.25">
      <c r="M36386" t="s">
        <v>255</v>
      </c>
    </row>
    <row r="36387" spans="13:13" x14ac:dyDescent="0.25">
      <c r="M36387" t="s">
        <v>256</v>
      </c>
    </row>
    <row r="36388" spans="13:13" x14ac:dyDescent="0.25">
      <c r="M36388" t="s">
        <v>257</v>
      </c>
    </row>
    <row r="36389" spans="13:13" x14ac:dyDescent="0.25">
      <c r="M36389" t="s">
        <v>258</v>
      </c>
    </row>
    <row r="36390" spans="13:13" x14ac:dyDescent="0.25">
      <c r="M36390" t="s">
        <v>259</v>
      </c>
    </row>
    <row r="36391" spans="13:13" x14ac:dyDescent="0.25">
      <c r="M36391" t="s">
        <v>260</v>
      </c>
    </row>
    <row r="36392" spans="13:13" x14ac:dyDescent="0.25">
      <c r="M36392" t="s">
        <v>261</v>
      </c>
    </row>
    <row r="36393" spans="13:13" x14ac:dyDescent="0.25">
      <c r="M36393" t="s">
        <v>262</v>
      </c>
    </row>
    <row r="36394" spans="13:13" x14ac:dyDescent="0.25">
      <c r="M36394" t="s">
        <v>263</v>
      </c>
    </row>
    <row r="36445" spans="13:13" x14ac:dyDescent="0.25">
      <c r="M36445" t="s">
        <v>264</v>
      </c>
    </row>
    <row r="36446" spans="13:13" x14ac:dyDescent="0.25">
      <c r="M36446" t="s">
        <v>265</v>
      </c>
    </row>
    <row r="36447" spans="13:13" x14ac:dyDescent="0.25">
      <c r="M36447" t="s">
        <v>266</v>
      </c>
    </row>
    <row r="36496" spans="13:13" x14ac:dyDescent="0.25">
      <c r="M36496" t="s">
        <v>267</v>
      </c>
    </row>
    <row r="36497" spans="13:13" x14ac:dyDescent="0.25">
      <c r="M36497" t="s">
        <v>268</v>
      </c>
    </row>
    <row r="36498" spans="13:13" x14ac:dyDescent="0.25">
      <c r="M36498" t="s">
        <v>269</v>
      </c>
    </row>
    <row r="36499" spans="13:13" x14ac:dyDescent="0.25">
      <c r="M36499" t="s">
        <v>270</v>
      </c>
    </row>
    <row r="36500" spans="13:13" x14ac:dyDescent="0.25">
      <c r="M36500" t="s">
        <v>271</v>
      </c>
    </row>
    <row r="36501" spans="13:13" x14ac:dyDescent="0.25">
      <c r="M36501" t="s">
        <v>272</v>
      </c>
    </row>
    <row r="36522" spans="13:13" x14ac:dyDescent="0.25">
      <c r="M36522" t="s">
        <v>273</v>
      </c>
    </row>
    <row r="36523" spans="13:13" x14ac:dyDescent="0.25">
      <c r="M36523" t="s">
        <v>274</v>
      </c>
    </row>
    <row r="36526" spans="13:13" x14ac:dyDescent="0.25">
      <c r="M36526" t="s">
        <v>275</v>
      </c>
    </row>
    <row r="36527" spans="13:13" x14ac:dyDescent="0.25">
      <c r="M36527" t="s">
        <v>276</v>
      </c>
    </row>
    <row r="36528" spans="13:13" x14ac:dyDescent="0.25">
      <c r="M36528" t="s">
        <v>277</v>
      </c>
    </row>
    <row r="36533" spans="13:13" x14ac:dyDescent="0.25">
      <c r="M36533" t="s">
        <v>278</v>
      </c>
    </row>
    <row r="36534" spans="13:13" x14ac:dyDescent="0.25">
      <c r="M36534" t="s">
        <v>279</v>
      </c>
    </row>
    <row r="36550" spans="13:13" x14ac:dyDescent="0.25">
      <c r="M36550" t="s">
        <v>203</v>
      </c>
    </row>
    <row r="36551" spans="13:13" x14ac:dyDescent="0.25">
      <c r="M36551" t="s">
        <v>204</v>
      </c>
    </row>
    <row r="36552" spans="13:13" x14ac:dyDescent="0.25">
      <c r="M36552" t="s">
        <v>205</v>
      </c>
    </row>
    <row r="36553" spans="13:13" x14ac:dyDescent="0.25">
      <c r="M36553" t="s">
        <v>206</v>
      </c>
    </row>
    <row r="36554" spans="13:13" x14ac:dyDescent="0.25">
      <c r="M36554" t="s">
        <v>207</v>
      </c>
    </row>
    <row r="36555" spans="13:13" x14ac:dyDescent="0.25">
      <c r="M36555" t="s">
        <v>208</v>
      </c>
    </row>
    <row r="36556" spans="13:13" x14ac:dyDescent="0.25">
      <c r="M36556" t="s">
        <v>209</v>
      </c>
    </row>
    <row r="36557" spans="13:13" x14ac:dyDescent="0.25">
      <c r="M36557" t="s">
        <v>210</v>
      </c>
    </row>
    <row r="36577" spans="13:13" x14ac:dyDescent="0.25">
      <c r="M36577" t="s">
        <v>211</v>
      </c>
    </row>
    <row r="36578" spans="13:13" x14ac:dyDescent="0.25">
      <c r="M36578" t="s">
        <v>212</v>
      </c>
    </row>
    <row r="36579" spans="13:13" x14ac:dyDescent="0.25">
      <c r="M36579" t="s">
        <v>213</v>
      </c>
    </row>
    <row r="36580" spans="13:13" x14ac:dyDescent="0.25">
      <c r="M36580" t="s">
        <v>214</v>
      </c>
    </row>
    <row r="36581" spans="13:13" x14ac:dyDescent="0.25">
      <c r="M36581" t="s">
        <v>215</v>
      </c>
    </row>
    <row r="36582" spans="13:13" x14ac:dyDescent="0.25">
      <c r="M36582" t="s">
        <v>216</v>
      </c>
    </row>
    <row r="36583" spans="13:13" x14ac:dyDescent="0.25">
      <c r="M36583" t="s">
        <v>217</v>
      </c>
    </row>
    <row r="36584" spans="13:13" x14ac:dyDescent="0.25">
      <c r="M36584" t="s">
        <v>218</v>
      </c>
    </row>
    <row r="36585" spans="13:13" x14ac:dyDescent="0.25">
      <c r="M36585" t="s">
        <v>219</v>
      </c>
    </row>
    <row r="36586" spans="13:13" x14ac:dyDescent="0.25">
      <c r="M36586" t="s">
        <v>220</v>
      </c>
    </row>
    <row r="36590" spans="13:13" x14ac:dyDescent="0.25">
      <c r="M36590" t="s">
        <v>221</v>
      </c>
    </row>
    <row r="36591" spans="13:13" x14ac:dyDescent="0.25">
      <c r="M36591" t="s">
        <v>222</v>
      </c>
    </row>
    <row r="36592" spans="13:13" x14ac:dyDescent="0.25">
      <c r="M36592" t="s">
        <v>223</v>
      </c>
    </row>
    <row r="36593" spans="13:13" x14ac:dyDescent="0.25">
      <c r="M36593" t="s">
        <v>224</v>
      </c>
    </row>
    <row r="36594" spans="13:13" x14ac:dyDescent="0.25">
      <c r="M36594" t="s">
        <v>225</v>
      </c>
    </row>
    <row r="36595" spans="13:13" x14ac:dyDescent="0.25">
      <c r="M36595" t="s">
        <v>226</v>
      </c>
    </row>
    <row r="36596" spans="13:13" x14ac:dyDescent="0.25">
      <c r="M36596" t="s">
        <v>227</v>
      </c>
    </row>
    <row r="36597" spans="13:13" x14ac:dyDescent="0.25">
      <c r="M36597" t="s">
        <v>228</v>
      </c>
    </row>
    <row r="36598" spans="13:13" x14ac:dyDescent="0.25">
      <c r="M36598" t="s">
        <v>229</v>
      </c>
    </row>
    <row r="36599" spans="13:13" x14ac:dyDescent="0.25">
      <c r="M36599" t="s">
        <v>230</v>
      </c>
    </row>
    <row r="36600" spans="13:13" x14ac:dyDescent="0.25">
      <c r="M36600" t="s">
        <v>231</v>
      </c>
    </row>
    <row r="36601" spans="13:13" x14ac:dyDescent="0.25">
      <c r="M36601" t="s">
        <v>232</v>
      </c>
    </row>
    <row r="36602" spans="13:13" x14ac:dyDescent="0.25">
      <c r="M36602" t="s">
        <v>233</v>
      </c>
    </row>
    <row r="36603" spans="13:13" x14ac:dyDescent="0.25">
      <c r="M36603" t="s">
        <v>234</v>
      </c>
    </row>
    <row r="36604" spans="13:13" x14ac:dyDescent="0.25">
      <c r="M36604" t="s">
        <v>235</v>
      </c>
    </row>
    <row r="36605" spans="13:13" x14ac:dyDescent="0.25">
      <c r="M36605" t="s">
        <v>236</v>
      </c>
    </row>
    <row r="36606" spans="13:13" x14ac:dyDescent="0.25">
      <c r="M36606" t="s">
        <v>237</v>
      </c>
    </row>
    <row r="36607" spans="13:13" x14ac:dyDescent="0.25">
      <c r="M36607" t="s">
        <v>238</v>
      </c>
    </row>
    <row r="36608" spans="13:13" x14ac:dyDescent="0.25">
      <c r="M36608" t="s">
        <v>239</v>
      </c>
    </row>
    <row r="36609" spans="13:13" x14ac:dyDescent="0.25">
      <c r="M36609" t="s">
        <v>240</v>
      </c>
    </row>
    <row r="36610" spans="13:13" x14ac:dyDescent="0.25">
      <c r="M36610" t="s">
        <v>241</v>
      </c>
    </row>
    <row r="36611" spans="13:13" x14ac:dyDescent="0.25">
      <c r="M36611" t="s">
        <v>242</v>
      </c>
    </row>
    <row r="36612" spans="13:13" x14ac:dyDescent="0.25">
      <c r="M36612" t="s">
        <v>243</v>
      </c>
    </row>
    <row r="36613" spans="13:13" x14ac:dyDescent="0.25">
      <c r="M36613" t="s">
        <v>244</v>
      </c>
    </row>
    <row r="36614" spans="13:13" x14ac:dyDescent="0.25">
      <c r="M36614" t="s">
        <v>245</v>
      </c>
    </row>
    <row r="36615" spans="13:13" x14ac:dyDescent="0.25">
      <c r="M36615" t="s">
        <v>246</v>
      </c>
    </row>
    <row r="36616" spans="13:13" x14ac:dyDescent="0.25">
      <c r="M36616" t="s">
        <v>247</v>
      </c>
    </row>
    <row r="36617" spans="13:13" x14ac:dyDescent="0.25">
      <c r="M36617" t="s">
        <v>248</v>
      </c>
    </row>
    <row r="36618" spans="13:13" x14ac:dyDescent="0.25">
      <c r="M36618" t="s">
        <v>249</v>
      </c>
    </row>
    <row r="36619" spans="13:13" x14ac:dyDescent="0.25">
      <c r="M36619" t="s">
        <v>250</v>
      </c>
    </row>
    <row r="36620" spans="13:13" x14ac:dyDescent="0.25">
      <c r="M36620" t="s">
        <v>251</v>
      </c>
    </row>
    <row r="36621" spans="13:13" x14ac:dyDescent="0.25">
      <c r="M36621" t="s">
        <v>252</v>
      </c>
    </row>
    <row r="36622" spans="13:13" x14ac:dyDescent="0.25">
      <c r="M36622" t="s">
        <v>253</v>
      </c>
    </row>
    <row r="36632" spans="13:13" x14ac:dyDescent="0.25">
      <c r="M36632" t="s">
        <v>254</v>
      </c>
    </row>
    <row r="36633" spans="13:13" x14ac:dyDescent="0.25">
      <c r="M36633" t="s">
        <v>83</v>
      </c>
    </row>
    <row r="36647" spans="13:13" x14ac:dyDescent="0.25">
      <c r="M36647" t="s">
        <v>255</v>
      </c>
    </row>
    <row r="36648" spans="13:13" x14ac:dyDescent="0.25">
      <c r="M36648" t="s">
        <v>256</v>
      </c>
    </row>
    <row r="36649" spans="13:13" x14ac:dyDescent="0.25">
      <c r="M36649" t="s">
        <v>257</v>
      </c>
    </row>
    <row r="36650" spans="13:13" x14ac:dyDescent="0.25">
      <c r="M36650" t="s">
        <v>258</v>
      </c>
    </row>
    <row r="36651" spans="13:13" x14ac:dyDescent="0.25">
      <c r="M36651" t="s">
        <v>259</v>
      </c>
    </row>
    <row r="36652" spans="13:13" x14ac:dyDescent="0.25">
      <c r="M36652" t="s">
        <v>260</v>
      </c>
    </row>
    <row r="36653" spans="13:13" x14ac:dyDescent="0.25">
      <c r="M36653" t="s">
        <v>261</v>
      </c>
    </row>
    <row r="36654" spans="13:13" x14ac:dyDescent="0.25">
      <c r="M36654" t="s">
        <v>262</v>
      </c>
    </row>
    <row r="36655" spans="13:13" x14ac:dyDescent="0.25">
      <c r="M36655" t="s">
        <v>263</v>
      </c>
    </row>
    <row r="36706" spans="13:13" x14ac:dyDescent="0.25">
      <c r="M36706" t="s">
        <v>264</v>
      </c>
    </row>
    <row r="36707" spans="13:13" x14ac:dyDescent="0.25">
      <c r="M36707" t="s">
        <v>265</v>
      </c>
    </row>
    <row r="36708" spans="13:13" x14ac:dyDescent="0.25">
      <c r="M36708" t="s">
        <v>266</v>
      </c>
    </row>
    <row r="36757" spans="13:13" x14ac:dyDescent="0.25">
      <c r="M36757" t="s">
        <v>267</v>
      </c>
    </row>
    <row r="36758" spans="13:13" x14ac:dyDescent="0.25">
      <c r="M36758" t="s">
        <v>268</v>
      </c>
    </row>
    <row r="36759" spans="13:13" x14ac:dyDescent="0.25">
      <c r="M36759" t="s">
        <v>269</v>
      </c>
    </row>
    <row r="36760" spans="13:13" x14ac:dyDescent="0.25">
      <c r="M36760" t="s">
        <v>270</v>
      </c>
    </row>
    <row r="36761" spans="13:13" x14ac:dyDescent="0.25">
      <c r="M36761" t="s">
        <v>271</v>
      </c>
    </row>
    <row r="36762" spans="13:13" x14ac:dyDescent="0.25">
      <c r="M36762" t="s">
        <v>272</v>
      </c>
    </row>
    <row r="36783" spans="13:13" x14ac:dyDescent="0.25">
      <c r="M36783" t="s">
        <v>273</v>
      </c>
    </row>
    <row r="36784" spans="13:13" x14ac:dyDescent="0.25">
      <c r="M36784" t="s">
        <v>274</v>
      </c>
    </row>
    <row r="36787" spans="13:13" x14ac:dyDescent="0.25">
      <c r="M36787" t="s">
        <v>275</v>
      </c>
    </row>
    <row r="36788" spans="13:13" x14ac:dyDescent="0.25">
      <c r="M36788" t="s">
        <v>276</v>
      </c>
    </row>
    <row r="36789" spans="13:13" x14ac:dyDescent="0.25">
      <c r="M36789" t="s">
        <v>277</v>
      </c>
    </row>
    <row r="36794" spans="13:13" x14ac:dyDescent="0.25">
      <c r="M36794" t="s">
        <v>278</v>
      </c>
    </row>
    <row r="36795" spans="13:13" x14ac:dyDescent="0.25">
      <c r="M36795" t="s">
        <v>279</v>
      </c>
    </row>
    <row r="36811" spans="13:13" x14ac:dyDescent="0.25">
      <c r="M36811" t="s">
        <v>203</v>
      </c>
    </row>
    <row r="36812" spans="13:13" x14ac:dyDescent="0.25">
      <c r="M36812" t="s">
        <v>204</v>
      </c>
    </row>
    <row r="36813" spans="13:13" x14ac:dyDescent="0.25">
      <c r="M36813" t="s">
        <v>205</v>
      </c>
    </row>
    <row r="36814" spans="13:13" x14ac:dyDescent="0.25">
      <c r="M36814" t="s">
        <v>206</v>
      </c>
    </row>
    <row r="36815" spans="13:13" x14ac:dyDescent="0.25">
      <c r="M36815" t="s">
        <v>207</v>
      </c>
    </row>
    <row r="36816" spans="13:13" x14ac:dyDescent="0.25">
      <c r="M36816" t="s">
        <v>208</v>
      </c>
    </row>
    <row r="36817" spans="13:13" x14ac:dyDescent="0.25">
      <c r="M36817" t="s">
        <v>209</v>
      </c>
    </row>
    <row r="36818" spans="13:13" x14ac:dyDescent="0.25">
      <c r="M36818" t="s">
        <v>210</v>
      </c>
    </row>
    <row r="36838" spans="13:13" x14ac:dyDescent="0.25">
      <c r="M36838" t="s">
        <v>211</v>
      </c>
    </row>
    <row r="36839" spans="13:13" x14ac:dyDescent="0.25">
      <c r="M36839" t="s">
        <v>212</v>
      </c>
    </row>
    <row r="36840" spans="13:13" x14ac:dyDescent="0.25">
      <c r="M36840" t="s">
        <v>213</v>
      </c>
    </row>
    <row r="36841" spans="13:13" x14ac:dyDescent="0.25">
      <c r="M36841" t="s">
        <v>214</v>
      </c>
    </row>
    <row r="36842" spans="13:13" x14ac:dyDescent="0.25">
      <c r="M36842" t="s">
        <v>215</v>
      </c>
    </row>
    <row r="36843" spans="13:13" x14ac:dyDescent="0.25">
      <c r="M36843" t="s">
        <v>216</v>
      </c>
    </row>
    <row r="36844" spans="13:13" x14ac:dyDescent="0.25">
      <c r="M36844" t="s">
        <v>217</v>
      </c>
    </row>
    <row r="36845" spans="13:13" x14ac:dyDescent="0.25">
      <c r="M36845" t="s">
        <v>218</v>
      </c>
    </row>
    <row r="36846" spans="13:13" x14ac:dyDescent="0.25">
      <c r="M36846" t="s">
        <v>219</v>
      </c>
    </row>
    <row r="36847" spans="13:13" x14ac:dyDescent="0.25">
      <c r="M36847" t="s">
        <v>220</v>
      </c>
    </row>
    <row r="36851" spans="13:13" x14ac:dyDescent="0.25">
      <c r="M36851" t="s">
        <v>221</v>
      </c>
    </row>
    <row r="36852" spans="13:13" x14ac:dyDescent="0.25">
      <c r="M36852" t="s">
        <v>222</v>
      </c>
    </row>
    <row r="36853" spans="13:13" x14ac:dyDescent="0.25">
      <c r="M36853" t="s">
        <v>223</v>
      </c>
    </row>
    <row r="36854" spans="13:13" x14ac:dyDescent="0.25">
      <c r="M36854" t="s">
        <v>224</v>
      </c>
    </row>
    <row r="36855" spans="13:13" x14ac:dyDescent="0.25">
      <c r="M36855" t="s">
        <v>225</v>
      </c>
    </row>
    <row r="36856" spans="13:13" x14ac:dyDescent="0.25">
      <c r="M36856" t="s">
        <v>226</v>
      </c>
    </row>
    <row r="36857" spans="13:13" x14ac:dyDescent="0.25">
      <c r="M36857" t="s">
        <v>227</v>
      </c>
    </row>
    <row r="36858" spans="13:13" x14ac:dyDescent="0.25">
      <c r="M36858" t="s">
        <v>228</v>
      </c>
    </row>
    <row r="36859" spans="13:13" x14ac:dyDescent="0.25">
      <c r="M36859" t="s">
        <v>229</v>
      </c>
    </row>
    <row r="36860" spans="13:13" x14ac:dyDescent="0.25">
      <c r="M36860" t="s">
        <v>230</v>
      </c>
    </row>
    <row r="36861" spans="13:13" x14ac:dyDescent="0.25">
      <c r="M36861" t="s">
        <v>231</v>
      </c>
    </row>
    <row r="36862" spans="13:13" x14ac:dyDescent="0.25">
      <c r="M36862" t="s">
        <v>232</v>
      </c>
    </row>
    <row r="36863" spans="13:13" x14ac:dyDescent="0.25">
      <c r="M36863" t="s">
        <v>233</v>
      </c>
    </row>
    <row r="36864" spans="13:13" x14ac:dyDescent="0.25">
      <c r="M36864" t="s">
        <v>234</v>
      </c>
    </row>
    <row r="36865" spans="13:13" x14ac:dyDescent="0.25">
      <c r="M36865" t="s">
        <v>235</v>
      </c>
    </row>
    <row r="36866" spans="13:13" x14ac:dyDescent="0.25">
      <c r="M36866" t="s">
        <v>236</v>
      </c>
    </row>
    <row r="36867" spans="13:13" x14ac:dyDescent="0.25">
      <c r="M36867" t="s">
        <v>237</v>
      </c>
    </row>
    <row r="36868" spans="13:13" x14ac:dyDescent="0.25">
      <c r="M36868" t="s">
        <v>238</v>
      </c>
    </row>
    <row r="36869" spans="13:13" x14ac:dyDescent="0.25">
      <c r="M36869" t="s">
        <v>239</v>
      </c>
    </row>
    <row r="36870" spans="13:13" x14ac:dyDescent="0.25">
      <c r="M36870" t="s">
        <v>240</v>
      </c>
    </row>
    <row r="36871" spans="13:13" x14ac:dyDescent="0.25">
      <c r="M36871" t="s">
        <v>241</v>
      </c>
    </row>
    <row r="36872" spans="13:13" x14ac:dyDescent="0.25">
      <c r="M36872" t="s">
        <v>242</v>
      </c>
    </row>
    <row r="36873" spans="13:13" x14ac:dyDescent="0.25">
      <c r="M36873" t="s">
        <v>243</v>
      </c>
    </row>
    <row r="36874" spans="13:13" x14ac:dyDescent="0.25">
      <c r="M36874" t="s">
        <v>244</v>
      </c>
    </row>
    <row r="36875" spans="13:13" x14ac:dyDescent="0.25">
      <c r="M36875" t="s">
        <v>245</v>
      </c>
    </row>
    <row r="36876" spans="13:13" x14ac:dyDescent="0.25">
      <c r="M36876" t="s">
        <v>246</v>
      </c>
    </row>
    <row r="36877" spans="13:13" x14ac:dyDescent="0.25">
      <c r="M36877" t="s">
        <v>247</v>
      </c>
    </row>
    <row r="36878" spans="13:13" x14ac:dyDescent="0.25">
      <c r="M36878" t="s">
        <v>248</v>
      </c>
    </row>
    <row r="36879" spans="13:13" x14ac:dyDescent="0.25">
      <c r="M36879" t="s">
        <v>249</v>
      </c>
    </row>
    <row r="36880" spans="13:13" x14ac:dyDescent="0.25">
      <c r="M36880" t="s">
        <v>250</v>
      </c>
    </row>
    <row r="36881" spans="13:13" x14ac:dyDescent="0.25">
      <c r="M36881" t="s">
        <v>251</v>
      </c>
    </row>
    <row r="36882" spans="13:13" x14ac:dyDescent="0.25">
      <c r="M36882" t="s">
        <v>252</v>
      </c>
    </row>
    <row r="36883" spans="13:13" x14ac:dyDescent="0.25">
      <c r="M36883" t="s">
        <v>253</v>
      </c>
    </row>
    <row r="36893" spans="13:13" x14ac:dyDescent="0.25">
      <c r="M36893" t="s">
        <v>254</v>
      </c>
    </row>
    <row r="36894" spans="13:13" x14ac:dyDescent="0.25">
      <c r="M36894" t="s">
        <v>83</v>
      </c>
    </row>
    <row r="36908" spans="13:13" x14ac:dyDescent="0.25">
      <c r="M36908" t="s">
        <v>255</v>
      </c>
    </row>
    <row r="36909" spans="13:13" x14ac:dyDescent="0.25">
      <c r="M36909" t="s">
        <v>256</v>
      </c>
    </row>
    <row r="36910" spans="13:13" x14ac:dyDescent="0.25">
      <c r="M36910" t="s">
        <v>257</v>
      </c>
    </row>
    <row r="36911" spans="13:13" x14ac:dyDescent="0.25">
      <c r="M36911" t="s">
        <v>258</v>
      </c>
    </row>
    <row r="36912" spans="13:13" x14ac:dyDescent="0.25">
      <c r="M36912" t="s">
        <v>259</v>
      </c>
    </row>
    <row r="36913" spans="13:13" x14ac:dyDescent="0.25">
      <c r="M36913" t="s">
        <v>260</v>
      </c>
    </row>
    <row r="36914" spans="13:13" x14ac:dyDescent="0.25">
      <c r="M36914" t="s">
        <v>261</v>
      </c>
    </row>
    <row r="36915" spans="13:13" x14ac:dyDescent="0.25">
      <c r="M36915" t="s">
        <v>262</v>
      </c>
    </row>
    <row r="36916" spans="13:13" x14ac:dyDescent="0.25">
      <c r="M36916" t="s">
        <v>263</v>
      </c>
    </row>
    <row r="36967" spans="13:13" x14ac:dyDescent="0.25">
      <c r="M36967" t="s">
        <v>264</v>
      </c>
    </row>
    <row r="36968" spans="13:13" x14ac:dyDescent="0.25">
      <c r="M36968" t="s">
        <v>265</v>
      </c>
    </row>
    <row r="36969" spans="13:13" x14ac:dyDescent="0.25">
      <c r="M36969" t="s">
        <v>266</v>
      </c>
    </row>
    <row r="37018" spans="13:13" x14ac:dyDescent="0.25">
      <c r="M37018" t="s">
        <v>267</v>
      </c>
    </row>
    <row r="37019" spans="13:13" x14ac:dyDescent="0.25">
      <c r="M37019" t="s">
        <v>268</v>
      </c>
    </row>
    <row r="37020" spans="13:13" x14ac:dyDescent="0.25">
      <c r="M37020" t="s">
        <v>269</v>
      </c>
    </row>
    <row r="37021" spans="13:13" x14ac:dyDescent="0.25">
      <c r="M37021" t="s">
        <v>270</v>
      </c>
    </row>
    <row r="37022" spans="13:13" x14ac:dyDescent="0.25">
      <c r="M37022" t="s">
        <v>271</v>
      </c>
    </row>
    <row r="37023" spans="13:13" x14ac:dyDescent="0.25">
      <c r="M37023" t="s">
        <v>272</v>
      </c>
    </row>
    <row r="37044" spans="13:13" x14ac:dyDescent="0.25">
      <c r="M37044" t="s">
        <v>273</v>
      </c>
    </row>
    <row r="37045" spans="13:13" x14ac:dyDescent="0.25">
      <c r="M37045" t="s">
        <v>274</v>
      </c>
    </row>
    <row r="37048" spans="13:13" x14ac:dyDescent="0.25">
      <c r="M37048" t="s">
        <v>275</v>
      </c>
    </row>
    <row r="37049" spans="13:13" x14ac:dyDescent="0.25">
      <c r="M37049" t="s">
        <v>276</v>
      </c>
    </row>
    <row r="37050" spans="13:13" x14ac:dyDescent="0.25">
      <c r="M37050" t="s">
        <v>277</v>
      </c>
    </row>
    <row r="37055" spans="13:13" x14ac:dyDescent="0.25">
      <c r="M37055" t="s">
        <v>278</v>
      </c>
    </row>
    <row r="37056" spans="13:13" x14ac:dyDescent="0.25">
      <c r="M37056" t="s">
        <v>279</v>
      </c>
    </row>
    <row r="37072" spans="13:13" x14ac:dyDescent="0.25">
      <c r="M37072" t="s">
        <v>203</v>
      </c>
    </row>
    <row r="37073" spans="13:13" x14ac:dyDescent="0.25">
      <c r="M37073" t="s">
        <v>204</v>
      </c>
    </row>
    <row r="37074" spans="13:13" x14ac:dyDescent="0.25">
      <c r="M37074" t="s">
        <v>205</v>
      </c>
    </row>
    <row r="37075" spans="13:13" x14ac:dyDescent="0.25">
      <c r="M37075" t="s">
        <v>206</v>
      </c>
    </row>
    <row r="37076" spans="13:13" x14ac:dyDescent="0.25">
      <c r="M37076" t="s">
        <v>207</v>
      </c>
    </row>
    <row r="37077" spans="13:13" x14ac:dyDescent="0.25">
      <c r="M37077" t="s">
        <v>208</v>
      </c>
    </row>
    <row r="37078" spans="13:13" x14ac:dyDescent="0.25">
      <c r="M37078" t="s">
        <v>209</v>
      </c>
    </row>
    <row r="37079" spans="13:13" x14ac:dyDescent="0.25">
      <c r="M37079" t="s">
        <v>210</v>
      </c>
    </row>
    <row r="37099" spans="13:13" x14ac:dyDescent="0.25">
      <c r="M37099" t="s">
        <v>211</v>
      </c>
    </row>
    <row r="37100" spans="13:13" x14ac:dyDescent="0.25">
      <c r="M37100" t="s">
        <v>212</v>
      </c>
    </row>
    <row r="37101" spans="13:13" x14ac:dyDescent="0.25">
      <c r="M37101" t="s">
        <v>213</v>
      </c>
    </row>
    <row r="37102" spans="13:13" x14ac:dyDescent="0.25">
      <c r="M37102" t="s">
        <v>214</v>
      </c>
    </row>
    <row r="37103" spans="13:13" x14ac:dyDescent="0.25">
      <c r="M37103" t="s">
        <v>215</v>
      </c>
    </row>
    <row r="37104" spans="13:13" x14ac:dyDescent="0.25">
      <c r="M37104" t="s">
        <v>216</v>
      </c>
    </row>
    <row r="37105" spans="13:13" x14ac:dyDescent="0.25">
      <c r="M37105" t="s">
        <v>217</v>
      </c>
    </row>
    <row r="37106" spans="13:13" x14ac:dyDescent="0.25">
      <c r="M37106" t="s">
        <v>218</v>
      </c>
    </row>
    <row r="37107" spans="13:13" x14ac:dyDescent="0.25">
      <c r="M37107" t="s">
        <v>219</v>
      </c>
    </row>
    <row r="37108" spans="13:13" x14ac:dyDescent="0.25">
      <c r="M37108" t="s">
        <v>220</v>
      </c>
    </row>
    <row r="37112" spans="13:13" x14ac:dyDescent="0.25">
      <c r="M37112" t="s">
        <v>221</v>
      </c>
    </row>
    <row r="37113" spans="13:13" x14ac:dyDescent="0.25">
      <c r="M37113" t="s">
        <v>222</v>
      </c>
    </row>
    <row r="37114" spans="13:13" x14ac:dyDescent="0.25">
      <c r="M37114" t="s">
        <v>223</v>
      </c>
    </row>
    <row r="37115" spans="13:13" x14ac:dyDescent="0.25">
      <c r="M37115" t="s">
        <v>224</v>
      </c>
    </row>
    <row r="37116" spans="13:13" x14ac:dyDescent="0.25">
      <c r="M37116" t="s">
        <v>225</v>
      </c>
    </row>
    <row r="37117" spans="13:13" x14ac:dyDescent="0.25">
      <c r="M37117" t="s">
        <v>226</v>
      </c>
    </row>
    <row r="37118" spans="13:13" x14ac:dyDescent="0.25">
      <c r="M37118" t="s">
        <v>227</v>
      </c>
    </row>
    <row r="37119" spans="13:13" x14ac:dyDescent="0.25">
      <c r="M37119" t="s">
        <v>228</v>
      </c>
    </row>
    <row r="37120" spans="13:13" x14ac:dyDescent="0.25">
      <c r="M37120" t="s">
        <v>229</v>
      </c>
    </row>
    <row r="37121" spans="13:13" x14ac:dyDescent="0.25">
      <c r="M37121" t="s">
        <v>230</v>
      </c>
    </row>
    <row r="37122" spans="13:13" x14ac:dyDescent="0.25">
      <c r="M37122" t="s">
        <v>231</v>
      </c>
    </row>
    <row r="37123" spans="13:13" x14ac:dyDescent="0.25">
      <c r="M37123" t="s">
        <v>232</v>
      </c>
    </row>
    <row r="37124" spans="13:13" x14ac:dyDescent="0.25">
      <c r="M37124" t="s">
        <v>233</v>
      </c>
    </row>
    <row r="37125" spans="13:13" x14ac:dyDescent="0.25">
      <c r="M37125" t="s">
        <v>234</v>
      </c>
    </row>
    <row r="37126" spans="13:13" x14ac:dyDescent="0.25">
      <c r="M37126" t="s">
        <v>235</v>
      </c>
    </row>
    <row r="37127" spans="13:13" x14ac:dyDescent="0.25">
      <c r="M37127" t="s">
        <v>236</v>
      </c>
    </row>
    <row r="37128" spans="13:13" x14ac:dyDescent="0.25">
      <c r="M37128" t="s">
        <v>237</v>
      </c>
    </row>
    <row r="37129" spans="13:13" x14ac:dyDescent="0.25">
      <c r="M37129" t="s">
        <v>238</v>
      </c>
    </row>
    <row r="37130" spans="13:13" x14ac:dyDescent="0.25">
      <c r="M37130" t="s">
        <v>239</v>
      </c>
    </row>
    <row r="37131" spans="13:13" x14ac:dyDescent="0.25">
      <c r="M37131" t="s">
        <v>240</v>
      </c>
    </row>
    <row r="37132" spans="13:13" x14ac:dyDescent="0.25">
      <c r="M37132" t="s">
        <v>241</v>
      </c>
    </row>
    <row r="37133" spans="13:13" x14ac:dyDescent="0.25">
      <c r="M37133" t="s">
        <v>242</v>
      </c>
    </row>
    <row r="37134" spans="13:13" x14ac:dyDescent="0.25">
      <c r="M37134" t="s">
        <v>243</v>
      </c>
    </row>
    <row r="37135" spans="13:13" x14ac:dyDescent="0.25">
      <c r="M37135" t="s">
        <v>244</v>
      </c>
    </row>
    <row r="37136" spans="13:13" x14ac:dyDescent="0.25">
      <c r="M37136" t="s">
        <v>245</v>
      </c>
    </row>
    <row r="37137" spans="13:13" x14ac:dyDescent="0.25">
      <c r="M37137" t="s">
        <v>246</v>
      </c>
    </row>
    <row r="37138" spans="13:13" x14ac:dyDescent="0.25">
      <c r="M37138" t="s">
        <v>247</v>
      </c>
    </row>
    <row r="37139" spans="13:13" x14ac:dyDescent="0.25">
      <c r="M37139" t="s">
        <v>248</v>
      </c>
    </row>
    <row r="37140" spans="13:13" x14ac:dyDescent="0.25">
      <c r="M37140" t="s">
        <v>249</v>
      </c>
    </row>
    <row r="37141" spans="13:13" x14ac:dyDescent="0.25">
      <c r="M37141" t="s">
        <v>250</v>
      </c>
    </row>
    <row r="37142" spans="13:13" x14ac:dyDescent="0.25">
      <c r="M37142" t="s">
        <v>251</v>
      </c>
    </row>
    <row r="37143" spans="13:13" x14ac:dyDescent="0.25">
      <c r="M37143" t="s">
        <v>252</v>
      </c>
    </row>
    <row r="37144" spans="13:13" x14ac:dyDescent="0.25">
      <c r="M37144" t="s">
        <v>253</v>
      </c>
    </row>
    <row r="37154" spans="13:13" x14ac:dyDescent="0.25">
      <c r="M37154" t="s">
        <v>254</v>
      </c>
    </row>
    <row r="37155" spans="13:13" x14ac:dyDescent="0.25">
      <c r="M37155" t="s">
        <v>83</v>
      </c>
    </row>
    <row r="37169" spans="13:13" x14ac:dyDescent="0.25">
      <c r="M37169" t="s">
        <v>255</v>
      </c>
    </row>
    <row r="37170" spans="13:13" x14ac:dyDescent="0.25">
      <c r="M37170" t="s">
        <v>256</v>
      </c>
    </row>
    <row r="37171" spans="13:13" x14ac:dyDescent="0.25">
      <c r="M37171" t="s">
        <v>257</v>
      </c>
    </row>
    <row r="37172" spans="13:13" x14ac:dyDescent="0.25">
      <c r="M37172" t="s">
        <v>258</v>
      </c>
    </row>
    <row r="37173" spans="13:13" x14ac:dyDescent="0.25">
      <c r="M37173" t="s">
        <v>259</v>
      </c>
    </row>
    <row r="37174" spans="13:13" x14ac:dyDescent="0.25">
      <c r="M37174" t="s">
        <v>260</v>
      </c>
    </row>
    <row r="37175" spans="13:13" x14ac:dyDescent="0.25">
      <c r="M37175" t="s">
        <v>261</v>
      </c>
    </row>
    <row r="37176" spans="13:13" x14ac:dyDescent="0.25">
      <c r="M37176" t="s">
        <v>262</v>
      </c>
    </row>
    <row r="37177" spans="13:13" x14ac:dyDescent="0.25">
      <c r="M37177" t="s">
        <v>263</v>
      </c>
    </row>
    <row r="37228" spans="13:13" x14ac:dyDescent="0.25">
      <c r="M37228" t="s">
        <v>264</v>
      </c>
    </row>
    <row r="37229" spans="13:13" x14ac:dyDescent="0.25">
      <c r="M37229" t="s">
        <v>265</v>
      </c>
    </row>
    <row r="37230" spans="13:13" x14ac:dyDescent="0.25">
      <c r="M37230" t="s">
        <v>266</v>
      </c>
    </row>
    <row r="37279" spans="13:13" x14ac:dyDescent="0.25">
      <c r="M37279" t="s">
        <v>267</v>
      </c>
    </row>
    <row r="37280" spans="13:13" x14ac:dyDescent="0.25">
      <c r="M37280" t="s">
        <v>268</v>
      </c>
    </row>
    <row r="37281" spans="13:13" x14ac:dyDescent="0.25">
      <c r="M37281" t="s">
        <v>269</v>
      </c>
    </row>
    <row r="37282" spans="13:13" x14ac:dyDescent="0.25">
      <c r="M37282" t="s">
        <v>270</v>
      </c>
    </row>
    <row r="37283" spans="13:13" x14ac:dyDescent="0.25">
      <c r="M37283" t="s">
        <v>271</v>
      </c>
    </row>
    <row r="37284" spans="13:13" x14ac:dyDescent="0.25">
      <c r="M37284" t="s">
        <v>272</v>
      </c>
    </row>
    <row r="37305" spans="13:13" x14ac:dyDescent="0.25">
      <c r="M37305" t="s">
        <v>273</v>
      </c>
    </row>
    <row r="37306" spans="13:13" x14ac:dyDescent="0.25">
      <c r="M37306" t="s">
        <v>274</v>
      </c>
    </row>
    <row r="37309" spans="13:13" x14ac:dyDescent="0.25">
      <c r="M37309" t="s">
        <v>275</v>
      </c>
    </row>
    <row r="37310" spans="13:13" x14ac:dyDescent="0.25">
      <c r="M37310" t="s">
        <v>276</v>
      </c>
    </row>
    <row r="37311" spans="13:13" x14ac:dyDescent="0.25">
      <c r="M37311" t="s">
        <v>277</v>
      </c>
    </row>
    <row r="37316" spans="13:13" x14ac:dyDescent="0.25">
      <c r="M37316" t="s">
        <v>278</v>
      </c>
    </row>
    <row r="37317" spans="13:13" x14ac:dyDescent="0.25">
      <c r="M37317" t="s">
        <v>279</v>
      </c>
    </row>
    <row r="37333" spans="13:13" x14ac:dyDescent="0.25">
      <c r="M37333" t="s">
        <v>203</v>
      </c>
    </row>
    <row r="37334" spans="13:13" x14ac:dyDescent="0.25">
      <c r="M37334" t="s">
        <v>204</v>
      </c>
    </row>
    <row r="37335" spans="13:13" x14ac:dyDescent="0.25">
      <c r="M37335" t="s">
        <v>205</v>
      </c>
    </row>
    <row r="37336" spans="13:13" x14ac:dyDescent="0.25">
      <c r="M37336" t="s">
        <v>206</v>
      </c>
    </row>
    <row r="37337" spans="13:13" x14ac:dyDescent="0.25">
      <c r="M37337" t="s">
        <v>207</v>
      </c>
    </row>
    <row r="37338" spans="13:13" x14ac:dyDescent="0.25">
      <c r="M37338" t="s">
        <v>208</v>
      </c>
    </row>
    <row r="37339" spans="13:13" x14ac:dyDescent="0.25">
      <c r="M37339" t="s">
        <v>209</v>
      </c>
    </row>
    <row r="37340" spans="13:13" x14ac:dyDescent="0.25">
      <c r="M37340" t="s">
        <v>210</v>
      </c>
    </row>
    <row r="37360" spans="13:13" x14ac:dyDescent="0.25">
      <c r="M37360" t="s">
        <v>211</v>
      </c>
    </row>
    <row r="37361" spans="13:13" x14ac:dyDescent="0.25">
      <c r="M37361" t="s">
        <v>212</v>
      </c>
    </row>
    <row r="37362" spans="13:13" x14ac:dyDescent="0.25">
      <c r="M37362" t="s">
        <v>213</v>
      </c>
    </row>
    <row r="37363" spans="13:13" x14ac:dyDescent="0.25">
      <c r="M37363" t="s">
        <v>214</v>
      </c>
    </row>
    <row r="37364" spans="13:13" x14ac:dyDescent="0.25">
      <c r="M37364" t="s">
        <v>215</v>
      </c>
    </row>
    <row r="37365" spans="13:13" x14ac:dyDescent="0.25">
      <c r="M37365" t="s">
        <v>216</v>
      </c>
    </row>
    <row r="37366" spans="13:13" x14ac:dyDescent="0.25">
      <c r="M37366" t="s">
        <v>217</v>
      </c>
    </row>
    <row r="37367" spans="13:13" x14ac:dyDescent="0.25">
      <c r="M37367" t="s">
        <v>218</v>
      </c>
    </row>
    <row r="37368" spans="13:13" x14ac:dyDescent="0.25">
      <c r="M37368" t="s">
        <v>219</v>
      </c>
    </row>
    <row r="37369" spans="13:13" x14ac:dyDescent="0.25">
      <c r="M37369" t="s">
        <v>220</v>
      </c>
    </row>
    <row r="37373" spans="13:13" x14ac:dyDescent="0.25">
      <c r="M37373" t="s">
        <v>221</v>
      </c>
    </row>
    <row r="37374" spans="13:13" x14ac:dyDescent="0.25">
      <c r="M37374" t="s">
        <v>222</v>
      </c>
    </row>
    <row r="37375" spans="13:13" x14ac:dyDescent="0.25">
      <c r="M37375" t="s">
        <v>223</v>
      </c>
    </row>
    <row r="37376" spans="13:13" x14ac:dyDescent="0.25">
      <c r="M37376" t="s">
        <v>224</v>
      </c>
    </row>
    <row r="37377" spans="13:13" x14ac:dyDescent="0.25">
      <c r="M37377" t="s">
        <v>225</v>
      </c>
    </row>
    <row r="37378" spans="13:13" x14ac:dyDescent="0.25">
      <c r="M37378" t="s">
        <v>226</v>
      </c>
    </row>
    <row r="37379" spans="13:13" x14ac:dyDescent="0.25">
      <c r="M37379" t="s">
        <v>227</v>
      </c>
    </row>
    <row r="37380" spans="13:13" x14ac:dyDescent="0.25">
      <c r="M37380" t="s">
        <v>228</v>
      </c>
    </row>
    <row r="37381" spans="13:13" x14ac:dyDescent="0.25">
      <c r="M37381" t="s">
        <v>229</v>
      </c>
    </row>
    <row r="37382" spans="13:13" x14ac:dyDescent="0.25">
      <c r="M37382" t="s">
        <v>230</v>
      </c>
    </row>
    <row r="37383" spans="13:13" x14ac:dyDescent="0.25">
      <c r="M37383" t="s">
        <v>231</v>
      </c>
    </row>
    <row r="37384" spans="13:13" x14ac:dyDescent="0.25">
      <c r="M37384" t="s">
        <v>232</v>
      </c>
    </row>
    <row r="37385" spans="13:13" x14ac:dyDescent="0.25">
      <c r="M37385" t="s">
        <v>233</v>
      </c>
    </row>
    <row r="37386" spans="13:13" x14ac:dyDescent="0.25">
      <c r="M37386" t="s">
        <v>234</v>
      </c>
    </row>
    <row r="37387" spans="13:13" x14ac:dyDescent="0.25">
      <c r="M37387" t="s">
        <v>235</v>
      </c>
    </row>
    <row r="37388" spans="13:13" x14ac:dyDescent="0.25">
      <c r="M37388" t="s">
        <v>236</v>
      </c>
    </row>
    <row r="37389" spans="13:13" x14ac:dyDescent="0.25">
      <c r="M37389" t="s">
        <v>237</v>
      </c>
    </row>
    <row r="37390" spans="13:13" x14ac:dyDescent="0.25">
      <c r="M37390" t="s">
        <v>238</v>
      </c>
    </row>
    <row r="37391" spans="13:13" x14ac:dyDescent="0.25">
      <c r="M37391" t="s">
        <v>239</v>
      </c>
    </row>
    <row r="37392" spans="13:13" x14ac:dyDescent="0.25">
      <c r="M37392" t="s">
        <v>240</v>
      </c>
    </row>
    <row r="37393" spans="13:13" x14ac:dyDescent="0.25">
      <c r="M37393" t="s">
        <v>241</v>
      </c>
    </row>
    <row r="37394" spans="13:13" x14ac:dyDescent="0.25">
      <c r="M37394" t="s">
        <v>242</v>
      </c>
    </row>
    <row r="37395" spans="13:13" x14ac:dyDescent="0.25">
      <c r="M37395" t="s">
        <v>243</v>
      </c>
    </row>
    <row r="37396" spans="13:13" x14ac:dyDescent="0.25">
      <c r="M37396" t="s">
        <v>244</v>
      </c>
    </row>
    <row r="37397" spans="13:13" x14ac:dyDescent="0.25">
      <c r="M37397" t="s">
        <v>245</v>
      </c>
    </row>
    <row r="37398" spans="13:13" x14ac:dyDescent="0.25">
      <c r="M37398" t="s">
        <v>246</v>
      </c>
    </row>
    <row r="37399" spans="13:13" x14ac:dyDescent="0.25">
      <c r="M37399" t="s">
        <v>247</v>
      </c>
    </row>
    <row r="37400" spans="13:13" x14ac:dyDescent="0.25">
      <c r="M37400" t="s">
        <v>248</v>
      </c>
    </row>
    <row r="37401" spans="13:13" x14ac:dyDescent="0.25">
      <c r="M37401" t="s">
        <v>249</v>
      </c>
    </row>
    <row r="37402" spans="13:13" x14ac:dyDescent="0.25">
      <c r="M37402" t="s">
        <v>250</v>
      </c>
    </row>
    <row r="37403" spans="13:13" x14ac:dyDescent="0.25">
      <c r="M37403" t="s">
        <v>251</v>
      </c>
    </row>
    <row r="37404" spans="13:13" x14ac:dyDescent="0.25">
      <c r="M37404" t="s">
        <v>252</v>
      </c>
    </row>
    <row r="37405" spans="13:13" x14ac:dyDescent="0.25">
      <c r="M37405" t="s">
        <v>253</v>
      </c>
    </row>
    <row r="37415" spans="13:13" x14ac:dyDescent="0.25">
      <c r="M37415" t="s">
        <v>254</v>
      </c>
    </row>
    <row r="37416" spans="13:13" x14ac:dyDescent="0.25">
      <c r="M37416" t="s">
        <v>83</v>
      </c>
    </row>
    <row r="37430" spans="13:13" x14ac:dyDescent="0.25">
      <c r="M37430" t="s">
        <v>255</v>
      </c>
    </row>
    <row r="37431" spans="13:13" x14ac:dyDescent="0.25">
      <c r="M37431" t="s">
        <v>256</v>
      </c>
    </row>
    <row r="37432" spans="13:13" x14ac:dyDescent="0.25">
      <c r="M37432" t="s">
        <v>257</v>
      </c>
    </row>
    <row r="37433" spans="13:13" x14ac:dyDescent="0.25">
      <c r="M37433" t="s">
        <v>258</v>
      </c>
    </row>
    <row r="37434" spans="13:13" x14ac:dyDescent="0.25">
      <c r="M37434" t="s">
        <v>259</v>
      </c>
    </row>
    <row r="37435" spans="13:13" x14ac:dyDescent="0.25">
      <c r="M37435" t="s">
        <v>260</v>
      </c>
    </row>
    <row r="37436" spans="13:13" x14ac:dyDescent="0.25">
      <c r="M37436" t="s">
        <v>261</v>
      </c>
    </row>
    <row r="37437" spans="13:13" x14ac:dyDescent="0.25">
      <c r="M37437" t="s">
        <v>262</v>
      </c>
    </row>
    <row r="37438" spans="13:13" x14ac:dyDescent="0.25">
      <c r="M37438" t="s">
        <v>263</v>
      </c>
    </row>
    <row r="37489" spans="13:13" x14ac:dyDescent="0.25">
      <c r="M37489" t="s">
        <v>264</v>
      </c>
    </row>
    <row r="37490" spans="13:13" x14ac:dyDescent="0.25">
      <c r="M37490" t="s">
        <v>265</v>
      </c>
    </row>
    <row r="37491" spans="13:13" x14ac:dyDescent="0.25">
      <c r="M37491" t="s">
        <v>266</v>
      </c>
    </row>
    <row r="37540" spans="13:13" x14ac:dyDescent="0.25">
      <c r="M37540" t="s">
        <v>267</v>
      </c>
    </row>
    <row r="37541" spans="13:13" x14ac:dyDescent="0.25">
      <c r="M37541" t="s">
        <v>268</v>
      </c>
    </row>
    <row r="37542" spans="13:13" x14ac:dyDescent="0.25">
      <c r="M37542" t="s">
        <v>269</v>
      </c>
    </row>
    <row r="37543" spans="13:13" x14ac:dyDescent="0.25">
      <c r="M37543" t="s">
        <v>270</v>
      </c>
    </row>
    <row r="37544" spans="13:13" x14ac:dyDescent="0.25">
      <c r="M37544" t="s">
        <v>271</v>
      </c>
    </row>
    <row r="37545" spans="13:13" x14ac:dyDescent="0.25">
      <c r="M37545" t="s">
        <v>272</v>
      </c>
    </row>
    <row r="37566" spans="13:13" x14ac:dyDescent="0.25">
      <c r="M37566" t="s">
        <v>273</v>
      </c>
    </row>
    <row r="37567" spans="13:13" x14ac:dyDescent="0.25">
      <c r="M37567" t="s">
        <v>274</v>
      </c>
    </row>
    <row r="37570" spans="13:13" x14ac:dyDescent="0.25">
      <c r="M37570" t="s">
        <v>275</v>
      </c>
    </row>
    <row r="37571" spans="13:13" x14ac:dyDescent="0.25">
      <c r="M37571" t="s">
        <v>276</v>
      </c>
    </row>
    <row r="37572" spans="13:13" x14ac:dyDescent="0.25">
      <c r="M37572" t="s">
        <v>277</v>
      </c>
    </row>
    <row r="37577" spans="13:13" x14ac:dyDescent="0.25">
      <c r="M37577" t="s">
        <v>278</v>
      </c>
    </row>
    <row r="37578" spans="13:13" x14ac:dyDescent="0.25">
      <c r="M37578" t="s">
        <v>279</v>
      </c>
    </row>
    <row r="37594" spans="13:13" x14ac:dyDescent="0.25">
      <c r="M37594" t="s">
        <v>203</v>
      </c>
    </row>
    <row r="37595" spans="13:13" x14ac:dyDescent="0.25">
      <c r="M37595" t="s">
        <v>204</v>
      </c>
    </row>
    <row r="37596" spans="13:13" x14ac:dyDescent="0.25">
      <c r="M37596" t="s">
        <v>205</v>
      </c>
    </row>
    <row r="37597" spans="13:13" x14ac:dyDescent="0.25">
      <c r="M37597" t="s">
        <v>206</v>
      </c>
    </row>
    <row r="37598" spans="13:13" x14ac:dyDescent="0.25">
      <c r="M37598" t="s">
        <v>207</v>
      </c>
    </row>
    <row r="37599" spans="13:13" x14ac:dyDescent="0.25">
      <c r="M37599" t="s">
        <v>208</v>
      </c>
    </row>
    <row r="37600" spans="13:13" x14ac:dyDescent="0.25">
      <c r="M37600" t="s">
        <v>209</v>
      </c>
    </row>
    <row r="37601" spans="13:13" x14ac:dyDescent="0.25">
      <c r="M37601" t="s">
        <v>210</v>
      </c>
    </row>
    <row r="37621" spans="13:13" x14ac:dyDescent="0.25">
      <c r="M37621" t="s">
        <v>211</v>
      </c>
    </row>
    <row r="37622" spans="13:13" x14ac:dyDescent="0.25">
      <c r="M37622" t="s">
        <v>212</v>
      </c>
    </row>
    <row r="37623" spans="13:13" x14ac:dyDescent="0.25">
      <c r="M37623" t="s">
        <v>213</v>
      </c>
    </row>
    <row r="37624" spans="13:13" x14ac:dyDescent="0.25">
      <c r="M37624" t="s">
        <v>214</v>
      </c>
    </row>
    <row r="37625" spans="13:13" x14ac:dyDescent="0.25">
      <c r="M37625" t="s">
        <v>215</v>
      </c>
    </row>
    <row r="37626" spans="13:13" x14ac:dyDescent="0.25">
      <c r="M37626" t="s">
        <v>216</v>
      </c>
    </row>
    <row r="37627" spans="13:13" x14ac:dyDescent="0.25">
      <c r="M37627" t="s">
        <v>217</v>
      </c>
    </row>
    <row r="37628" spans="13:13" x14ac:dyDescent="0.25">
      <c r="M37628" t="s">
        <v>218</v>
      </c>
    </row>
    <row r="37629" spans="13:13" x14ac:dyDescent="0.25">
      <c r="M37629" t="s">
        <v>219</v>
      </c>
    </row>
    <row r="37630" spans="13:13" x14ac:dyDescent="0.25">
      <c r="M37630" t="s">
        <v>220</v>
      </c>
    </row>
    <row r="37634" spans="13:13" x14ac:dyDescent="0.25">
      <c r="M37634" t="s">
        <v>221</v>
      </c>
    </row>
    <row r="37635" spans="13:13" x14ac:dyDescent="0.25">
      <c r="M37635" t="s">
        <v>222</v>
      </c>
    </row>
    <row r="37636" spans="13:13" x14ac:dyDescent="0.25">
      <c r="M37636" t="s">
        <v>223</v>
      </c>
    </row>
    <row r="37637" spans="13:13" x14ac:dyDescent="0.25">
      <c r="M37637" t="s">
        <v>224</v>
      </c>
    </row>
    <row r="37638" spans="13:13" x14ac:dyDescent="0.25">
      <c r="M37638" t="s">
        <v>225</v>
      </c>
    </row>
    <row r="37639" spans="13:13" x14ac:dyDescent="0.25">
      <c r="M37639" t="s">
        <v>226</v>
      </c>
    </row>
    <row r="37640" spans="13:13" x14ac:dyDescent="0.25">
      <c r="M37640" t="s">
        <v>227</v>
      </c>
    </row>
    <row r="37641" spans="13:13" x14ac:dyDescent="0.25">
      <c r="M37641" t="s">
        <v>228</v>
      </c>
    </row>
    <row r="37642" spans="13:13" x14ac:dyDescent="0.25">
      <c r="M37642" t="s">
        <v>229</v>
      </c>
    </row>
    <row r="37643" spans="13:13" x14ac:dyDescent="0.25">
      <c r="M37643" t="s">
        <v>230</v>
      </c>
    </row>
    <row r="37644" spans="13:13" x14ac:dyDescent="0.25">
      <c r="M37644" t="s">
        <v>231</v>
      </c>
    </row>
    <row r="37645" spans="13:13" x14ac:dyDescent="0.25">
      <c r="M37645" t="s">
        <v>232</v>
      </c>
    </row>
    <row r="37646" spans="13:13" x14ac:dyDescent="0.25">
      <c r="M37646" t="s">
        <v>233</v>
      </c>
    </row>
    <row r="37647" spans="13:13" x14ac:dyDescent="0.25">
      <c r="M37647" t="s">
        <v>234</v>
      </c>
    </row>
    <row r="37648" spans="13:13" x14ac:dyDescent="0.25">
      <c r="M37648" t="s">
        <v>235</v>
      </c>
    </row>
    <row r="37649" spans="13:13" x14ac:dyDescent="0.25">
      <c r="M37649" t="s">
        <v>236</v>
      </c>
    </row>
    <row r="37650" spans="13:13" x14ac:dyDescent="0.25">
      <c r="M37650" t="s">
        <v>237</v>
      </c>
    </row>
    <row r="37651" spans="13:13" x14ac:dyDescent="0.25">
      <c r="M37651" t="s">
        <v>238</v>
      </c>
    </row>
    <row r="37652" spans="13:13" x14ac:dyDescent="0.25">
      <c r="M37652" t="s">
        <v>239</v>
      </c>
    </row>
    <row r="37653" spans="13:13" x14ac:dyDescent="0.25">
      <c r="M37653" t="s">
        <v>240</v>
      </c>
    </row>
    <row r="37654" spans="13:13" x14ac:dyDescent="0.25">
      <c r="M37654" t="s">
        <v>241</v>
      </c>
    </row>
    <row r="37655" spans="13:13" x14ac:dyDescent="0.25">
      <c r="M37655" t="s">
        <v>242</v>
      </c>
    </row>
    <row r="37656" spans="13:13" x14ac:dyDescent="0.25">
      <c r="M37656" t="s">
        <v>243</v>
      </c>
    </row>
    <row r="37657" spans="13:13" x14ac:dyDescent="0.25">
      <c r="M37657" t="s">
        <v>244</v>
      </c>
    </row>
    <row r="37658" spans="13:13" x14ac:dyDescent="0.25">
      <c r="M37658" t="s">
        <v>245</v>
      </c>
    </row>
    <row r="37659" spans="13:13" x14ac:dyDescent="0.25">
      <c r="M37659" t="s">
        <v>246</v>
      </c>
    </row>
    <row r="37660" spans="13:13" x14ac:dyDescent="0.25">
      <c r="M37660" t="s">
        <v>247</v>
      </c>
    </row>
    <row r="37661" spans="13:13" x14ac:dyDescent="0.25">
      <c r="M37661" t="s">
        <v>248</v>
      </c>
    </row>
    <row r="37662" spans="13:13" x14ac:dyDescent="0.25">
      <c r="M37662" t="s">
        <v>249</v>
      </c>
    </row>
    <row r="37663" spans="13:13" x14ac:dyDescent="0.25">
      <c r="M37663" t="s">
        <v>250</v>
      </c>
    </row>
    <row r="37664" spans="13:13" x14ac:dyDescent="0.25">
      <c r="M37664" t="s">
        <v>251</v>
      </c>
    </row>
    <row r="37665" spans="13:13" x14ac:dyDescent="0.25">
      <c r="M37665" t="s">
        <v>252</v>
      </c>
    </row>
    <row r="37666" spans="13:13" x14ac:dyDescent="0.25">
      <c r="M37666" t="s">
        <v>253</v>
      </c>
    </row>
    <row r="37676" spans="13:13" x14ac:dyDescent="0.25">
      <c r="M37676" t="s">
        <v>254</v>
      </c>
    </row>
    <row r="37677" spans="13:13" x14ac:dyDescent="0.25">
      <c r="M37677" t="s">
        <v>83</v>
      </c>
    </row>
    <row r="37691" spans="13:13" x14ac:dyDescent="0.25">
      <c r="M37691" t="s">
        <v>255</v>
      </c>
    </row>
    <row r="37692" spans="13:13" x14ac:dyDescent="0.25">
      <c r="M37692" t="s">
        <v>256</v>
      </c>
    </row>
    <row r="37693" spans="13:13" x14ac:dyDescent="0.25">
      <c r="M37693" t="s">
        <v>257</v>
      </c>
    </row>
    <row r="37694" spans="13:13" x14ac:dyDescent="0.25">
      <c r="M37694" t="s">
        <v>258</v>
      </c>
    </row>
    <row r="37695" spans="13:13" x14ac:dyDescent="0.25">
      <c r="M37695" t="s">
        <v>259</v>
      </c>
    </row>
    <row r="37696" spans="13:13" x14ac:dyDescent="0.25">
      <c r="M37696" t="s">
        <v>260</v>
      </c>
    </row>
    <row r="37697" spans="13:13" x14ac:dyDescent="0.25">
      <c r="M37697" t="s">
        <v>261</v>
      </c>
    </row>
    <row r="37698" spans="13:13" x14ac:dyDescent="0.25">
      <c r="M37698" t="s">
        <v>262</v>
      </c>
    </row>
    <row r="37699" spans="13:13" x14ac:dyDescent="0.25">
      <c r="M37699" t="s">
        <v>263</v>
      </c>
    </row>
    <row r="37750" spans="13:13" x14ac:dyDescent="0.25">
      <c r="M37750" t="s">
        <v>264</v>
      </c>
    </row>
    <row r="37751" spans="13:13" x14ac:dyDescent="0.25">
      <c r="M37751" t="s">
        <v>265</v>
      </c>
    </row>
    <row r="37752" spans="13:13" x14ac:dyDescent="0.25">
      <c r="M37752" t="s">
        <v>266</v>
      </c>
    </row>
    <row r="37801" spans="13:13" x14ac:dyDescent="0.25">
      <c r="M37801" t="s">
        <v>267</v>
      </c>
    </row>
    <row r="37802" spans="13:13" x14ac:dyDescent="0.25">
      <c r="M37802" t="s">
        <v>268</v>
      </c>
    </row>
    <row r="37803" spans="13:13" x14ac:dyDescent="0.25">
      <c r="M37803" t="s">
        <v>269</v>
      </c>
    </row>
    <row r="37804" spans="13:13" x14ac:dyDescent="0.25">
      <c r="M37804" t="s">
        <v>270</v>
      </c>
    </row>
    <row r="37805" spans="13:13" x14ac:dyDescent="0.25">
      <c r="M37805" t="s">
        <v>271</v>
      </c>
    </row>
    <row r="37806" spans="13:13" x14ac:dyDescent="0.25">
      <c r="M37806" t="s">
        <v>272</v>
      </c>
    </row>
    <row r="37827" spans="13:13" x14ac:dyDescent="0.25">
      <c r="M37827" t="s">
        <v>273</v>
      </c>
    </row>
    <row r="37828" spans="13:13" x14ac:dyDescent="0.25">
      <c r="M37828" t="s">
        <v>274</v>
      </c>
    </row>
    <row r="37831" spans="13:13" x14ac:dyDescent="0.25">
      <c r="M37831" t="s">
        <v>275</v>
      </c>
    </row>
    <row r="37832" spans="13:13" x14ac:dyDescent="0.25">
      <c r="M37832" t="s">
        <v>276</v>
      </c>
    </row>
    <row r="37833" spans="13:13" x14ac:dyDescent="0.25">
      <c r="M37833" t="s">
        <v>277</v>
      </c>
    </row>
    <row r="37838" spans="13:13" x14ac:dyDescent="0.25">
      <c r="M37838" t="s">
        <v>278</v>
      </c>
    </row>
    <row r="37839" spans="13:13" x14ac:dyDescent="0.25">
      <c r="M37839" t="s">
        <v>279</v>
      </c>
    </row>
    <row r="37855" spans="13:13" x14ac:dyDescent="0.25">
      <c r="M37855" t="s">
        <v>203</v>
      </c>
    </row>
    <row r="37856" spans="13:13" x14ac:dyDescent="0.25">
      <c r="M37856" t="s">
        <v>204</v>
      </c>
    </row>
    <row r="37857" spans="13:13" x14ac:dyDescent="0.25">
      <c r="M37857" t="s">
        <v>205</v>
      </c>
    </row>
    <row r="37858" spans="13:13" x14ac:dyDescent="0.25">
      <c r="M37858" t="s">
        <v>206</v>
      </c>
    </row>
    <row r="37859" spans="13:13" x14ac:dyDescent="0.25">
      <c r="M37859" t="s">
        <v>207</v>
      </c>
    </row>
    <row r="37860" spans="13:13" x14ac:dyDescent="0.25">
      <c r="M37860" t="s">
        <v>208</v>
      </c>
    </row>
    <row r="37861" spans="13:13" x14ac:dyDescent="0.25">
      <c r="M37861" t="s">
        <v>209</v>
      </c>
    </row>
    <row r="37862" spans="13:13" x14ac:dyDescent="0.25">
      <c r="M37862" t="s">
        <v>210</v>
      </c>
    </row>
    <row r="37882" spans="13:13" x14ac:dyDescent="0.25">
      <c r="M37882" t="s">
        <v>211</v>
      </c>
    </row>
    <row r="37883" spans="13:13" x14ac:dyDescent="0.25">
      <c r="M37883" t="s">
        <v>212</v>
      </c>
    </row>
    <row r="37884" spans="13:13" x14ac:dyDescent="0.25">
      <c r="M37884" t="s">
        <v>213</v>
      </c>
    </row>
    <row r="37885" spans="13:13" x14ac:dyDescent="0.25">
      <c r="M37885" t="s">
        <v>214</v>
      </c>
    </row>
    <row r="37886" spans="13:13" x14ac:dyDescent="0.25">
      <c r="M37886" t="s">
        <v>215</v>
      </c>
    </row>
    <row r="37887" spans="13:13" x14ac:dyDescent="0.25">
      <c r="M37887" t="s">
        <v>216</v>
      </c>
    </row>
    <row r="37888" spans="13:13" x14ac:dyDescent="0.25">
      <c r="M37888" t="s">
        <v>217</v>
      </c>
    </row>
    <row r="37889" spans="13:13" x14ac:dyDescent="0.25">
      <c r="M37889" t="s">
        <v>218</v>
      </c>
    </row>
    <row r="37890" spans="13:13" x14ac:dyDescent="0.25">
      <c r="M37890" t="s">
        <v>219</v>
      </c>
    </row>
    <row r="37891" spans="13:13" x14ac:dyDescent="0.25">
      <c r="M37891" t="s">
        <v>220</v>
      </c>
    </row>
    <row r="37895" spans="13:13" x14ac:dyDescent="0.25">
      <c r="M37895" t="s">
        <v>221</v>
      </c>
    </row>
    <row r="37896" spans="13:13" x14ac:dyDescent="0.25">
      <c r="M37896" t="s">
        <v>222</v>
      </c>
    </row>
    <row r="37897" spans="13:13" x14ac:dyDescent="0.25">
      <c r="M37897" t="s">
        <v>223</v>
      </c>
    </row>
    <row r="37898" spans="13:13" x14ac:dyDescent="0.25">
      <c r="M37898" t="s">
        <v>224</v>
      </c>
    </row>
    <row r="37899" spans="13:13" x14ac:dyDescent="0.25">
      <c r="M37899" t="s">
        <v>225</v>
      </c>
    </row>
    <row r="37900" spans="13:13" x14ac:dyDescent="0.25">
      <c r="M37900" t="s">
        <v>226</v>
      </c>
    </row>
    <row r="37901" spans="13:13" x14ac:dyDescent="0.25">
      <c r="M37901" t="s">
        <v>227</v>
      </c>
    </row>
    <row r="37902" spans="13:13" x14ac:dyDescent="0.25">
      <c r="M37902" t="s">
        <v>228</v>
      </c>
    </row>
    <row r="37903" spans="13:13" x14ac:dyDescent="0.25">
      <c r="M37903" t="s">
        <v>229</v>
      </c>
    </row>
    <row r="37904" spans="13:13" x14ac:dyDescent="0.25">
      <c r="M37904" t="s">
        <v>230</v>
      </c>
    </row>
    <row r="37905" spans="13:13" x14ac:dyDescent="0.25">
      <c r="M37905" t="s">
        <v>231</v>
      </c>
    </row>
    <row r="37906" spans="13:13" x14ac:dyDescent="0.25">
      <c r="M37906" t="s">
        <v>232</v>
      </c>
    </row>
    <row r="37907" spans="13:13" x14ac:dyDescent="0.25">
      <c r="M37907" t="s">
        <v>233</v>
      </c>
    </row>
    <row r="37908" spans="13:13" x14ac:dyDescent="0.25">
      <c r="M37908" t="s">
        <v>234</v>
      </c>
    </row>
    <row r="37909" spans="13:13" x14ac:dyDescent="0.25">
      <c r="M37909" t="s">
        <v>235</v>
      </c>
    </row>
    <row r="37910" spans="13:13" x14ac:dyDescent="0.25">
      <c r="M37910" t="s">
        <v>236</v>
      </c>
    </row>
    <row r="37911" spans="13:13" x14ac:dyDescent="0.25">
      <c r="M37911" t="s">
        <v>237</v>
      </c>
    </row>
    <row r="37912" spans="13:13" x14ac:dyDescent="0.25">
      <c r="M37912" t="s">
        <v>238</v>
      </c>
    </row>
    <row r="37913" spans="13:13" x14ac:dyDescent="0.25">
      <c r="M37913" t="s">
        <v>239</v>
      </c>
    </row>
    <row r="37914" spans="13:13" x14ac:dyDescent="0.25">
      <c r="M37914" t="s">
        <v>240</v>
      </c>
    </row>
    <row r="37915" spans="13:13" x14ac:dyDescent="0.25">
      <c r="M37915" t="s">
        <v>241</v>
      </c>
    </row>
    <row r="37916" spans="13:13" x14ac:dyDescent="0.25">
      <c r="M37916" t="s">
        <v>242</v>
      </c>
    </row>
    <row r="37917" spans="13:13" x14ac:dyDescent="0.25">
      <c r="M37917" t="s">
        <v>243</v>
      </c>
    </row>
    <row r="37918" spans="13:13" x14ac:dyDescent="0.25">
      <c r="M37918" t="s">
        <v>244</v>
      </c>
    </row>
    <row r="37919" spans="13:13" x14ac:dyDescent="0.25">
      <c r="M37919" t="s">
        <v>245</v>
      </c>
    </row>
    <row r="37920" spans="13:13" x14ac:dyDescent="0.25">
      <c r="M37920" t="s">
        <v>246</v>
      </c>
    </row>
    <row r="37921" spans="13:13" x14ac:dyDescent="0.25">
      <c r="M37921" t="s">
        <v>247</v>
      </c>
    </row>
    <row r="37922" spans="13:13" x14ac:dyDescent="0.25">
      <c r="M37922" t="s">
        <v>248</v>
      </c>
    </row>
    <row r="37923" spans="13:13" x14ac:dyDescent="0.25">
      <c r="M37923" t="s">
        <v>249</v>
      </c>
    </row>
    <row r="37924" spans="13:13" x14ac:dyDescent="0.25">
      <c r="M37924" t="s">
        <v>250</v>
      </c>
    </row>
    <row r="37925" spans="13:13" x14ac:dyDescent="0.25">
      <c r="M37925" t="s">
        <v>251</v>
      </c>
    </row>
    <row r="37926" spans="13:13" x14ac:dyDescent="0.25">
      <c r="M37926" t="s">
        <v>252</v>
      </c>
    </row>
    <row r="37927" spans="13:13" x14ac:dyDescent="0.25">
      <c r="M37927" t="s">
        <v>253</v>
      </c>
    </row>
    <row r="37937" spans="13:13" x14ac:dyDescent="0.25">
      <c r="M37937" t="s">
        <v>254</v>
      </c>
    </row>
    <row r="37938" spans="13:13" x14ac:dyDescent="0.25">
      <c r="M37938" t="s">
        <v>83</v>
      </c>
    </row>
    <row r="37952" spans="13:13" x14ac:dyDescent="0.25">
      <c r="M37952" t="s">
        <v>255</v>
      </c>
    </row>
    <row r="37953" spans="13:13" x14ac:dyDescent="0.25">
      <c r="M37953" t="s">
        <v>256</v>
      </c>
    </row>
    <row r="37954" spans="13:13" x14ac:dyDescent="0.25">
      <c r="M37954" t="s">
        <v>257</v>
      </c>
    </row>
    <row r="37955" spans="13:13" x14ac:dyDescent="0.25">
      <c r="M37955" t="s">
        <v>258</v>
      </c>
    </row>
    <row r="37956" spans="13:13" x14ac:dyDescent="0.25">
      <c r="M37956" t="s">
        <v>259</v>
      </c>
    </row>
    <row r="37957" spans="13:13" x14ac:dyDescent="0.25">
      <c r="M37957" t="s">
        <v>260</v>
      </c>
    </row>
    <row r="37958" spans="13:13" x14ac:dyDescent="0.25">
      <c r="M37958" t="s">
        <v>261</v>
      </c>
    </row>
    <row r="37959" spans="13:13" x14ac:dyDescent="0.25">
      <c r="M37959" t="s">
        <v>262</v>
      </c>
    </row>
    <row r="37960" spans="13:13" x14ac:dyDescent="0.25">
      <c r="M37960" t="s">
        <v>263</v>
      </c>
    </row>
    <row r="38011" spans="13:13" x14ac:dyDescent="0.25">
      <c r="M38011" t="s">
        <v>264</v>
      </c>
    </row>
    <row r="38012" spans="13:13" x14ac:dyDescent="0.25">
      <c r="M38012" t="s">
        <v>265</v>
      </c>
    </row>
    <row r="38013" spans="13:13" x14ac:dyDescent="0.25">
      <c r="M38013" t="s">
        <v>266</v>
      </c>
    </row>
    <row r="38062" spans="13:13" x14ac:dyDescent="0.25">
      <c r="M38062" t="s">
        <v>267</v>
      </c>
    </row>
    <row r="38063" spans="13:13" x14ac:dyDescent="0.25">
      <c r="M38063" t="s">
        <v>268</v>
      </c>
    </row>
    <row r="38064" spans="13:13" x14ac:dyDescent="0.25">
      <c r="M38064" t="s">
        <v>269</v>
      </c>
    </row>
    <row r="38065" spans="13:13" x14ac:dyDescent="0.25">
      <c r="M38065" t="s">
        <v>270</v>
      </c>
    </row>
    <row r="38066" spans="13:13" x14ac:dyDescent="0.25">
      <c r="M38066" t="s">
        <v>271</v>
      </c>
    </row>
    <row r="38067" spans="13:13" x14ac:dyDescent="0.25">
      <c r="M38067" t="s">
        <v>272</v>
      </c>
    </row>
    <row r="38088" spans="13:13" x14ac:dyDescent="0.25">
      <c r="M38088" t="s">
        <v>273</v>
      </c>
    </row>
    <row r="38089" spans="13:13" x14ac:dyDescent="0.25">
      <c r="M38089" t="s">
        <v>274</v>
      </c>
    </row>
    <row r="38092" spans="13:13" x14ac:dyDescent="0.25">
      <c r="M38092" t="s">
        <v>275</v>
      </c>
    </row>
    <row r="38093" spans="13:13" x14ac:dyDescent="0.25">
      <c r="M38093" t="s">
        <v>276</v>
      </c>
    </row>
    <row r="38094" spans="13:13" x14ac:dyDescent="0.25">
      <c r="M38094" t="s">
        <v>277</v>
      </c>
    </row>
    <row r="38099" spans="13:13" x14ac:dyDescent="0.25">
      <c r="M38099" t="s">
        <v>278</v>
      </c>
    </row>
    <row r="38100" spans="13:13" x14ac:dyDescent="0.25">
      <c r="M38100" t="s">
        <v>279</v>
      </c>
    </row>
    <row r="38116" spans="13:13" x14ac:dyDescent="0.25">
      <c r="M38116" t="s">
        <v>203</v>
      </c>
    </row>
    <row r="38117" spans="13:13" x14ac:dyDescent="0.25">
      <c r="M38117" t="s">
        <v>204</v>
      </c>
    </row>
    <row r="38118" spans="13:13" x14ac:dyDescent="0.25">
      <c r="M38118" t="s">
        <v>205</v>
      </c>
    </row>
    <row r="38119" spans="13:13" x14ac:dyDescent="0.25">
      <c r="M38119" t="s">
        <v>206</v>
      </c>
    </row>
    <row r="38120" spans="13:13" x14ac:dyDescent="0.25">
      <c r="M38120" t="s">
        <v>207</v>
      </c>
    </row>
    <row r="38121" spans="13:13" x14ac:dyDescent="0.25">
      <c r="M38121" t="s">
        <v>208</v>
      </c>
    </row>
    <row r="38122" spans="13:13" x14ac:dyDescent="0.25">
      <c r="M38122" t="s">
        <v>209</v>
      </c>
    </row>
    <row r="38123" spans="13:13" x14ac:dyDescent="0.25">
      <c r="M38123" t="s">
        <v>210</v>
      </c>
    </row>
    <row r="38143" spans="13:13" x14ac:dyDescent="0.25">
      <c r="M38143" t="s">
        <v>211</v>
      </c>
    </row>
    <row r="38144" spans="13:13" x14ac:dyDescent="0.25">
      <c r="M38144" t="s">
        <v>212</v>
      </c>
    </row>
    <row r="38145" spans="13:13" x14ac:dyDescent="0.25">
      <c r="M38145" t="s">
        <v>213</v>
      </c>
    </row>
    <row r="38146" spans="13:13" x14ac:dyDescent="0.25">
      <c r="M38146" t="s">
        <v>214</v>
      </c>
    </row>
    <row r="38147" spans="13:13" x14ac:dyDescent="0.25">
      <c r="M38147" t="s">
        <v>215</v>
      </c>
    </row>
    <row r="38148" spans="13:13" x14ac:dyDescent="0.25">
      <c r="M38148" t="s">
        <v>216</v>
      </c>
    </row>
    <row r="38149" spans="13:13" x14ac:dyDescent="0.25">
      <c r="M38149" t="s">
        <v>217</v>
      </c>
    </row>
    <row r="38150" spans="13:13" x14ac:dyDescent="0.25">
      <c r="M38150" t="s">
        <v>218</v>
      </c>
    </row>
    <row r="38151" spans="13:13" x14ac:dyDescent="0.25">
      <c r="M38151" t="s">
        <v>219</v>
      </c>
    </row>
    <row r="38152" spans="13:13" x14ac:dyDescent="0.25">
      <c r="M38152" t="s">
        <v>220</v>
      </c>
    </row>
    <row r="38156" spans="13:13" x14ac:dyDescent="0.25">
      <c r="M38156" t="s">
        <v>221</v>
      </c>
    </row>
    <row r="38157" spans="13:13" x14ac:dyDescent="0.25">
      <c r="M38157" t="s">
        <v>222</v>
      </c>
    </row>
    <row r="38158" spans="13:13" x14ac:dyDescent="0.25">
      <c r="M38158" t="s">
        <v>223</v>
      </c>
    </row>
    <row r="38159" spans="13:13" x14ac:dyDescent="0.25">
      <c r="M38159" t="s">
        <v>224</v>
      </c>
    </row>
    <row r="38160" spans="13:13" x14ac:dyDescent="0.25">
      <c r="M38160" t="s">
        <v>225</v>
      </c>
    </row>
    <row r="38161" spans="13:13" x14ac:dyDescent="0.25">
      <c r="M38161" t="s">
        <v>226</v>
      </c>
    </row>
    <row r="38162" spans="13:13" x14ac:dyDescent="0.25">
      <c r="M38162" t="s">
        <v>227</v>
      </c>
    </row>
    <row r="38163" spans="13:13" x14ac:dyDescent="0.25">
      <c r="M38163" t="s">
        <v>228</v>
      </c>
    </row>
    <row r="38164" spans="13:13" x14ac:dyDescent="0.25">
      <c r="M38164" t="s">
        <v>229</v>
      </c>
    </row>
    <row r="38165" spans="13:13" x14ac:dyDescent="0.25">
      <c r="M38165" t="s">
        <v>230</v>
      </c>
    </row>
    <row r="38166" spans="13:13" x14ac:dyDescent="0.25">
      <c r="M38166" t="s">
        <v>231</v>
      </c>
    </row>
    <row r="38167" spans="13:13" x14ac:dyDescent="0.25">
      <c r="M38167" t="s">
        <v>232</v>
      </c>
    </row>
    <row r="38168" spans="13:13" x14ac:dyDescent="0.25">
      <c r="M38168" t="s">
        <v>233</v>
      </c>
    </row>
    <row r="38169" spans="13:13" x14ac:dyDescent="0.25">
      <c r="M38169" t="s">
        <v>234</v>
      </c>
    </row>
    <row r="38170" spans="13:13" x14ac:dyDescent="0.25">
      <c r="M38170" t="s">
        <v>235</v>
      </c>
    </row>
    <row r="38171" spans="13:13" x14ac:dyDescent="0.25">
      <c r="M38171" t="s">
        <v>236</v>
      </c>
    </row>
    <row r="38172" spans="13:13" x14ac:dyDescent="0.25">
      <c r="M38172" t="s">
        <v>237</v>
      </c>
    </row>
    <row r="38173" spans="13:13" x14ac:dyDescent="0.25">
      <c r="M38173" t="s">
        <v>238</v>
      </c>
    </row>
    <row r="38174" spans="13:13" x14ac:dyDescent="0.25">
      <c r="M38174" t="s">
        <v>239</v>
      </c>
    </row>
    <row r="38175" spans="13:13" x14ac:dyDescent="0.25">
      <c r="M38175" t="s">
        <v>240</v>
      </c>
    </row>
    <row r="38176" spans="13:13" x14ac:dyDescent="0.25">
      <c r="M38176" t="s">
        <v>241</v>
      </c>
    </row>
    <row r="38177" spans="13:13" x14ac:dyDescent="0.25">
      <c r="M38177" t="s">
        <v>242</v>
      </c>
    </row>
    <row r="38178" spans="13:13" x14ac:dyDescent="0.25">
      <c r="M38178" t="s">
        <v>243</v>
      </c>
    </row>
    <row r="38179" spans="13:13" x14ac:dyDescent="0.25">
      <c r="M38179" t="s">
        <v>244</v>
      </c>
    </row>
    <row r="38180" spans="13:13" x14ac:dyDescent="0.25">
      <c r="M38180" t="s">
        <v>245</v>
      </c>
    </row>
    <row r="38181" spans="13:13" x14ac:dyDescent="0.25">
      <c r="M38181" t="s">
        <v>246</v>
      </c>
    </row>
    <row r="38182" spans="13:13" x14ac:dyDescent="0.25">
      <c r="M38182" t="s">
        <v>247</v>
      </c>
    </row>
    <row r="38183" spans="13:13" x14ac:dyDescent="0.25">
      <c r="M38183" t="s">
        <v>248</v>
      </c>
    </row>
    <row r="38184" spans="13:13" x14ac:dyDescent="0.25">
      <c r="M38184" t="s">
        <v>249</v>
      </c>
    </row>
    <row r="38185" spans="13:13" x14ac:dyDescent="0.25">
      <c r="M38185" t="s">
        <v>250</v>
      </c>
    </row>
    <row r="38186" spans="13:13" x14ac:dyDescent="0.25">
      <c r="M38186" t="s">
        <v>251</v>
      </c>
    </row>
    <row r="38187" spans="13:13" x14ac:dyDescent="0.25">
      <c r="M38187" t="s">
        <v>252</v>
      </c>
    </row>
    <row r="38188" spans="13:13" x14ac:dyDescent="0.25">
      <c r="M38188" t="s">
        <v>253</v>
      </c>
    </row>
    <row r="38198" spans="13:13" x14ac:dyDescent="0.25">
      <c r="M38198" t="s">
        <v>254</v>
      </c>
    </row>
    <row r="38199" spans="13:13" x14ac:dyDescent="0.25">
      <c r="M38199" t="s">
        <v>83</v>
      </c>
    </row>
    <row r="38213" spans="13:13" x14ac:dyDescent="0.25">
      <c r="M38213" t="s">
        <v>255</v>
      </c>
    </row>
    <row r="38214" spans="13:13" x14ac:dyDescent="0.25">
      <c r="M38214" t="s">
        <v>256</v>
      </c>
    </row>
    <row r="38215" spans="13:13" x14ac:dyDescent="0.25">
      <c r="M38215" t="s">
        <v>257</v>
      </c>
    </row>
    <row r="38216" spans="13:13" x14ac:dyDescent="0.25">
      <c r="M38216" t="s">
        <v>258</v>
      </c>
    </row>
    <row r="38217" spans="13:13" x14ac:dyDescent="0.25">
      <c r="M38217" t="s">
        <v>259</v>
      </c>
    </row>
    <row r="38218" spans="13:13" x14ac:dyDescent="0.25">
      <c r="M38218" t="s">
        <v>260</v>
      </c>
    </row>
    <row r="38219" spans="13:13" x14ac:dyDescent="0.25">
      <c r="M38219" t="s">
        <v>261</v>
      </c>
    </row>
    <row r="38220" spans="13:13" x14ac:dyDescent="0.25">
      <c r="M38220" t="s">
        <v>262</v>
      </c>
    </row>
    <row r="38221" spans="13:13" x14ac:dyDescent="0.25">
      <c r="M38221" t="s">
        <v>263</v>
      </c>
    </row>
    <row r="38272" spans="13:13" x14ac:dyDescent="0.25">
      <c r="M38272" t="s">
        <v>264</v>
      </c>
    </row>
    <row r="38273" spans="13:13" x14ac:dyDescent="0.25">
      <c r="M38273" t="s">
        <v>265</v>
      </c>
    </row>
    <row r="38274" spans="13:13" x14ac:dyDescent="0.25">
      <c r="M38274" t="s">
        <v>266</v>
      </c>
    </row>
    <row r="38323" spans="13:13" x14ac:dyDescent="0.25">
      <c r="M38323" t="s">
        <v>267</v>
      </c>
    </row>
    <row r="38324" spans="13:13" x14ac:dyDescent="0.25">
      <c r="M38324" t="s">
        <v>268</v>
      </c>
    </row>
    <row r="38325" spans="13:13" x14ac:dyDescent="0.25">
      <c r="M38325" t="s">
        <v>269</v>
      </c>
    </row>
    <row r="38326" spans="13:13" x14ac:dyDescent="0.25">
      <c r="M38326" t="s">
        <v>270</v>
      </c>
    </row>
    <row r="38327" spans="13:13" x14ac:dyDescent="0.25">
      <c r="M38327" t="s">
        <v>271</v>
      </c>
    </row>
    <row r="38328" spans="13:13" x14ac:dyDescent="0.25">
      <c r="M38328" t="s">
        <v>272</v>
      </c>
    </row>
    <row r="38349" spans="13:13" x14ac:dyDescent="0.25">
      <c r="M38349" t="s">
        <v>273</v>
      </c>
    </row>
    <row r="38350" spans="13:13" x14ac:dyDescent="0.25">
      <c r="M38350" t="s">
        <v>274</v>
      </c>
    </row>
    <row r="38353" spans="13:13" x14ac:dyDescent="0.25">
      <c r="M38353" t="s">
        <v>275</v>
      </c>
    </row>
    <row r="38354" spans="13:13" x14ac:dyDescent="0.25">
      <c r="M38354" t="s">
        <v>276</v>
      </c>
    </row>
    <row r="38355" spans="13:13" x14ac:dyDescent="0.25">
      <c r="M38355" t="s">
        <v>277</v>
      </c>
    </row>
    <row r="38360" spans="13:13" x14ac:dyDescent="0.25">
      <c r="M38360" t="s">
        <v>278</v>
      </c>
    </row>
    <row r="38361" spans="13:13" x14ac:dyDescent="0.25">
      <c r="M38361" t="s">
        <v>279</v>
      </c>
    </row>
    <row r="38377" spans="13:13" x14ac:dyDescent="0.25">
      <c r="M38377" t="s">
        <v>203</v>
      </c>
    </row>
    <row r="38378" spans="13:13" x14ac:dyDescent="0.25">
      <c r="M38378" t="s">
        <v>204</v>
      </c>
    </row>
    <row r="38379" spans="13:13" x14ac:dyDescent="0.25">
      <c r="M38379" t="s">
        <v>205</v>
      </c>
    </row>
    <row r="38380" spans="13:13" x14ac:dyDescent="0.25">
      <c r="M38380" t="s">
        <v>206</v>
      </c>
    </row>
    <row r="38381" spans="13:13" x14ac:dyDescent="0.25">
      <c r="M38381" t="s">
        <v>207</v>
      </c>
    </row>
    <row r="38382" spans="13:13" x14ac:dyDescent="0.25">
      <c r="M38382" t="s">
        <v>208</v>
      </c>
    </row>
    <row r="38383" spans="13:13" x14ac:dyDescent="0.25">
      <c r="M38383" t="s">
        <v>209</v>
      </c>
    </row>
    <row r="38384" spans="13:13" x14ac:dyDescent="0.25">
      <c r="M38384" t="s">
        <v>210</v>
      </c>
    </row>
    <row r="38404" spans="13:13" x14ac:dyDescent="0.25">
      <c r="M38404" t="s">
        <v>211</v>
      </c>
    </row>
    <row r="38405" spans="13:13" x14ac:dyDescent="0.25">
      <c r="M38405" t="s">
        <v>212</v>
      </c>
    </row>
    <row r="38406" spans="13:13" x14ac:dyDescent="0.25">
      <c r="M38406" t="s">
        <v>213</v>
      </c>
    </row>
    <row r="38407" spans="13:13" x14ac:dyDescent="0.25">
      <c r="M38407" t="s">
        <v>214</v>
      </c>
    </row>
    <row r="38408" spans="13:13" x14ac:dyDescent="0.25">
      <c r="M38408" t="s">
        <v>215</v>
      </c>
    </row>
    <row r="38409" spans="13:13" x14ac:dyDescent="0.25">
      <c r="M38409" t="s">
        <v>216</v>
      </c>
    </row>
    <row r="38410" spans="13:13" x14ac:dyDescent="0.25">
      <c r="M38410" t="s">
        <v>217</v>
      </c>
    </row>
    <row r="38411" spans="13:13" x14ac:dyDescent="0.25">
      <c r="M38411" t="s">
        <v>218</v>
      </c>
    </row>
    <row r="38412" spans="13:13" x14ac:dyDescent="0.25">
      <c r="M38412" t="s">
        <v>219</v>
      </c>
    </row>
    <row r="38413" spans="13:13" x14ac:dyDescent="0.25">
      <c r="M38413" t="s">
        <v>220</v>
      </c>
    </row>
    <row r="38417" spans="13:13" x14ac:dyDescent="0.25">
      <c r="M38417" t="s">
        <v>221</v>
      </c>
    </row>
    <row r="38418" spans="13:13" x14ac:dyDescent="0.25">
      <c r="M38418" t="s">
        <v>222</v>
      </c>
    </row>
    <row r="38419" spans="13:13" x14ac:dyDescent="0.25">
      <c r="M38419" t="s">
        <v>223</v>
      </c>
    </row>
    <row r="38420" spans="13:13" x14ac:dyDescent="0.25">
      <c r="M38420" t="s">
        <v>224</v>
      </c>
    </row>
    <row r="38421" spans="13:13" x14ac:dyDescent="0.25">
      <c r="M38421" t="s">
        <v>225</v>
      </c>
    </row>
    <row r="38422" spans="13:13" x14ac:dyDescent="0.25">
      <c r="M38422" t="s">
        <v>226</v>
      </c>
    </row>
    <row r="38423" spans="13:13" x14ac:dyDescent="0.25">
      <c r="M38423" t="s">
        <v>227</v>
      </c>
    </row>
    <row r="38424" spans="13:13" x14ac:dyDescent="0.25">
      <c r="M38424" t="s">
        <v>228</v>
      </c>
    </row>
    <row r="38425" spans="13:13" x14ac:dyDescent="0.25">
      <c r="M38425" t="s">
        <v>229</v>
      </c>
    </row>
    <row r="38426" spans="13:13" x14ac:dyDescent="0.25">
      <c r="M38426" t="s">
        <v>230</v>
      </c>
    </row>
    <row r="38427" spans="13:13" x14ac:dyDescent="0.25">
      <c r="M38427" t="s">
        <v>231</v>
      </c>
    </row>
    <row r="38428" spans="13:13" x14ac:dyDescent="0.25">
      <c r="M38428" t="s">
        <v>232</v>
      </c>
    </row>
    <row r="38429" spans="13:13" x14ac:dyDescent="0.25">
      <c r="M38429" t="s">
        <v>233</v>
      </c>
    </row>
    <row r="38430" spans="13:13" x14ac:dyDescent="0.25">
      <c r="M38430" t="s">
        <v>234</v>
      </c>
    </row>
    <row r="38431" spans="13:13" x14ac:dyDescent="0.25">
      <c r="M38431" t="s">
        <v>235</v>
      </c>
    </row>
    <row r="38432" spans="13:13" x14ac:dyDescent="0.25">
      <c r="M38432" t="s">
        <v>236</v>
      </c>
    </row>
    <row r="38433" spans="13:13" x14ac:dyDescent="0.25">
      <c r="M38433" t="s">
        <v>237</v>
      </c>
    </row>
    <row r="38434" spans="13:13" x14ac:dyDescent="0.25">
      <c r="M38434" t="s">
        <v>238</v>
      </c>
    </row>
    <row r="38435" spans="13:13" x14ac:dyDescent="0.25">
      <c r="M38435" t="s">
        <v>239</v>
      </c>
    </row>
    <row r="38436" spans="13:13" x14ac:dyDescent="0.25">
      <c r="M38436" t="s">
        <v>240</v>
      </c>
    </row>
    <row r="38437" spans="13:13" x14ac:dyDescent="0.25">
      <c r="M38437" t="s">
        <v>241</v>
      </c>
    </row>
    <row r="38438" spans="13:13" x14ac:dyDescent="0.25">
      <c r="M38438" t="s">
        <v>242</v>
      </c>
    </row>
    <row r="38439" spans="13:13" x14ac:dyDescent="0.25">
      <c r="M38439" t="s">
        <v>243</v>
      </c>
    </row>
    <row r="38440" spans="13:13" x14ac:dyDescent="0.25">
      <c r="M38440" t="s">
        <v>244</v>
      </c>
    </row>
    <row r="38441" spans="13:13" x14ac:dyDescent="0.25">
      <c r="M38441" t="s">
        <v>245</v>
      </c>
    </row>
    <row r="38442" spans="13:13" x14ac:dyDescent="0.25">
      <c r="M38442" t="s">
        <v>246</v>
      </c>
    </row>
    <row r="38443" spans="13:13" x14ac:dyDescent="0.25">
      <c r="M38443" t="s">
        <v>247</v>
      </c>
    </row>
    <row r="38444" spans="13:13" x14ac:dyDescent="0.25">
      <c r="M38444" t="s">
        <v>248</v>
      </c>
    </row>
    <row r="38445" spans="13:13" x14ac:dyDescent="0.25">
      <c r="M38445" t="s">
        <v>249</v>
      </c>
    </row>
    <row r="38446" spans="13:13" x14ac:dyDescent="0.25">
      <c r="M38446" t="s">
        <v>250</v>
      </c>
    </row>
    <row r="38447" spans="13:13" x14ac:dyDescent="0.25">
      <c r="M38447" t="s">
        <v>251</v>
      </c>
    </row>
    <row r="38448" spans="13:13" x14ac:dyDescent="0.25">
      <c r="M38448" t="s">
        <v>252</v>
      </c>
    </row>
    <row r="38449" spans="13:13" x14ac:dyDescent="0.25">
      <c r="M38449" t="s">
        <v>253</v>
      </c>
    </row>
    <row r="38459" spans="13:13" x14ac:dyDescent="0.25">
      <c r="M38459" t="s">
        <v>254</v>
      </c>
    </row>
    <row r="38460" spans="13:13" x14ac:dyDescent="0.25">
      <c r="M38460" t="s">
        <v>83</v>
      </c>
    </row>
    <row r="38474" spans="13:13" x14ac:dyDescent="0.25">
      <c r="M38474" t="s">
        <v>255</v>
      </c>
    </row>
    <row r="38475" spans="13:13" x14ac:dyDescent="0.25">
      <c r="M38475" t="s">
        <v>256</v>
      </c>
    </row>
    <row r="38476" spans="13:13" x14ac:dyDescent="0.25">
      <c r="M38476" t="s">
        <v>257</v>
      </c>
    </row>
    <row r="38477" spans="13:13" x14ac:dyDescent="0.25">
      <c r="M38477" t="s">
        <v>258</v>
      </c>
    </row>
    <row r="38478" spans="13:13" x14ac:dyDescent="0.25">
      <c r="M38478" t="s">
        <v>259</v>
      </c>
    </row>
    <row r="38479" spans="13:13" x14ac:dyDescent="0.25">
      <c r="M38479" t="s">
        <v>260</v>
      </c>
    </row>
    <row r="38480" spans="13:13" x14ac:dyDescent="0.25">
      <c r="M38480" t="s">
        <v>261</v>
      </c>
    </row>
    <row r="38481" spans="13:13" x14ac:dyDescent="0.25">
      <c r="M38481" t="s">
        <v>262</v>
      </c>
    </row>
    <row r="38482" spans="13:13" x14ac:dyDescent="0.25">
      <c r="M38482" t="s">
        <v>263</v>
      </c>
    </row>
    <row r="38533" spans="13:13" x14ac:dyDescent="0.25">
      <c r="M38533" t="s">
        <v>264</v>
      </c>
    </row>
    <row r="38534" spans="13:13" x14ac:dyDescent="0.25">
      <c r="M38534" t="s">
        <v>265</v>
      </c>
    </row>
    <row r="38535" spans="13:13" x14ac:dyDescent="0.25">
      <c r="M38535" t="s">
        <v>266</v>
      </c>
    </row>
    <row r="38584" spans="13:13" x14ac:dyDescent="0.25">
      <c r="M38584" t="s">
        <v>267</v>
      </c>
    </row>
    <row r="38585" spans="13:13" x14ac:dyDescent="0.25">
      <c r="M38585" t="s">
        <v>268</v>
      </c>
    </row>
    <row r="38586" spans="13:13" x14ac:dyDescent="0.25">
      <c r="M38586" t="s">
        <v>269</v>
      </c>
    </row>
    <row r="38587" spans="13:13" x14ac:dyDescent="0.25">
      <c r="M38587" t="s">
        <v>270</v>
      </c>
    </row>
    <row r="38588" spans="13:13" x14ac:dyDescent="0.25">
      <c r="M38588" t="s">
        <v>271</v>
      </c>
    </row>
    <row r="38589" spans="13:13" x14ac:dyDescent="0.25">
      <c r="M38589" t="s">
        <v>272</v>
      </c>
    </row>
    <row r="38610" spans="13:13" x14ac:dyDescent="0.25">
      <c r="M38610" t="s">
        <v>273</v>
      </c>
    </row>
    <row r="38611" spans="13:13" x14ac:dyDescent="0.25">
      <c r="M38611" t="s">
        <v>274</v>
      </c>
    </row>
    <row r="38614" spans="13:13" x14ac:dyDescent="0.25">
      <c r="M38614" t="s">
        <v>275</v>
      </c>
    </row>
    <row r="38615" spans="13:13" x14ac:dyDescent="0.25">
      <c r="M38615" t="s">
        <v>276</v>
      </c>
    </row>
    <row r="38616" spans="13:13" x14ac:dyDescent="0.25">
      <c r="M38616" t="s">
        <v>277</v>
      </c>
    </row>
    <row r="38621" spans="13:13" x14ac:dyDescent="0.25">
      <c r="M38621" t="s">
        <v>278</v>
      </c>
    </row>
    <row r="38622" spans="13:13" x14ac:dyDescent="0.25">
      <c r="M38622" t="s">
        <v>279</v>
      </c>
    </row>
    <row r="38638" spans="13:13" x14ac:dyDescent="0.25">
      <c r="M38638" t="s">
        <v>203</v>
      </c>
    </row>
    <row r="38639" spans="13:13" x14ac:dyDescent="0.25">
      <c r="M38639" t="s">
        <v>204</v>
      </c>
    </row>
    <row r="38640" spans="13:13" x14ac:dyDescent="0.25">
      <c r="M38640" t="s">
        <v>205</v>
      </c>
    </row>
    <row r="38641" spans="13:13" x14ac:dyDescent="0.25">
      <c r="M38641" t="s">
        <v>206</v>
      </c>
    </row>
    <row r="38642" spans="13:13" x14ac:dyDescent="0.25">
      <c r="M38642" t="s">
        <v>207</v>
      </c>
    </row>
    <row r="38643" spans="13:13" x14ac:dyDescent="0.25">
      <c r="M38643" t="s">
        <v>208</v>
      </c>
    </row>
    <row r="38644" spans="13:13" x14ac:dyDescent="0.25">
      <c r="M38644" t="s">
        <v>209</v>
      </c>
    </row>
    <row r="38645" spans="13:13" x14ac:dyDescent="0.25">
      <c r="M38645" t="s">
        <v>210</v>
      </c>
    </row>
    <row r="38665" spans="13:13" x14ac:dyDescent="0.25">
      <c r="M38665" t="s">
        <v>211</v>
      </c>
    </row>
    <row r="38666" spans="13:13" x14ac:dyDescent="0.25">
      <c r="M38666" t="s">
        <v>212</v>
      </c>
    </row>
    <row r="38667" spans="13:13" x14ac:dyDescent="0.25">
      <c r="M38667" t="s">
        <v>213</v>
      </c>
    </row>
    <row r="38668" spans="13:13" x14ac:dyDescent="0.25">
      <c r="M38668" t="s">
        <v>214</v>
      </c>
    </row>
    <row r="38669" spans="13:13" x14ac:dyDescent="0.25">
      <c r="M38669" t="s">
        <v>215</v>
      </c>
    </row>
    <row r="38670" spans="13:13" x14ac:dyDescent="0.25">
      <c r="M38670" t="s">
        <v>216</v>
      </c>
    </row>
    <row r="38671" spans="13:13" x14ac:dyDescent="0.25">
      <c r="M38671" t="s">
        <v>217</v>
      </c>
    </row>
    <row r="38672" spans="13:13" x14ac:dyDescent="0.25">
      <c r="M38672" t="s">
        <v>218</v>
      </c>
    </row>
    <row r="38673" spans="13:13" x14ac:dyDescent="0.25">
      <c r="M38673" t="s">
        <v>219</v>
      </c>
    </row>
    <row r="38674" spans="13:13" x14ac:dyDescent="0.25">
      <c r="M38674" t="s">
        <v>220</v>
      </c>
    </row>
    <row r="38678" spans="13:13" x14ac:dyDescent="0.25">
      <c r="M38678" t="s">
        <v>221</v>
      </c>
    </row>
    <row r="38679" spans="13:13" x14ac:dyDescent="0.25">
      <c r="M38679" t="s">
        <v>222</v>
      </c>
    </row>
    <row r="38680" spans="13:13" x14ac:dyDescent="0.25">
      <c r="M38680" t="s">
        <v>223</v>
      </c>
    </row>
    <row r="38681" spans="13:13" x14ac:dyDescent="0.25">
      <c r="M38681" t="s">
        <v>224</v>
      </c>
    </row>
    <row r="38682" spans="13:13" x14ac:dyDescent="0.25">
      <c r="M38682" t="s">
        <v>225</v>
      </c>
    </row>
    <row r="38683" spans="13:13" x14ac:dyDescent="0.25">
      <c r="M38683" t="s">
        <v>226</v>
      </c>
    </row>
    <row r="38684" spans="13:13" x14ac:dyDescent="0.25">
      <c r="M38684" t="s">
        <v>227</v>
      </c>
    </row>
    <row r="38685" spans="13:13" x14ac:dyDescent="0.25">
      <c r="M38685" t="s">
        <v>228</v>
      </c>
    </row>
    <row r="38686" spans="13:13" x14ac:dyDescent="0.25">
      <c r="M38686" t="s">
        <v>229</v>
      </c>
    </row>
    <row r="38687" spans="13:13" x14ac:dyDescent="0.25">
      <c r="M38687" t="s">
        <v>230</v>
      </c>
    </row>
    <row r="38688" spans="13:13" x14ac:dyDescent="0.25">
      <c r="M38688" t="s">
        <v>231</v>
      </c>
    </row>
    <row r="38689" spans="13:13" x14ac:dyDescent="0.25">
      <c r="M38689" t="s">
        <v>232</v>
      </c>
    </row>
    <row r="38690" spans="13:13" x14ac:dyDescent="0.25">
      <c r="M38690" t="s">
        <v>233</v>
      </c>
    </row>
    <row r="38691" spans="13:13" x14ac:dyDescent="0.25">
      <c r="M38691" t="s">
        <v>234</v>
      </c>
    </row>
    <row r="38692" spans="13:13" x14ac:dyDescent="0.25">
      <c r="M38692" t="s">
        <v>235</v>
      </c>
    </row>
    <row r="38693" spans="13:13" x14ac:dyDescent="0.25">
      <c r="M38693" t="s">
        <v>236</v>
      </c>
    </row>
    <row r="38694" spans="13:13" x14ac:dyDescent="0.25">
      <c r="M38694" t="s">
        <v>237</v>
      </c>
    </row>
    <row r="38695" spans="13:13" x14ac:dyDescent="0.25">
      <c r="M38695" t="s">
        <v>238</v>
      </c>
    </row>
    <row r="38696" spans="13:13" x14ac:dyDescent="0.25">
      <c r="M38696" t="s">
        <v>239</v>
      </c>
    </row>
    <row r="38697" spans="13:13" x14ac:dyDescent="0.25">
      <c r="M38697" t="s">
        <v>240</v>
      </c>
    </row>
    <row r="38698" spans="13:13" x14ac:dyDescent="0.25">
      <c r="M38698" t="s">
        <v>241</v>
      </c>
    </row>
    <row r="38699" spans="13:13" x14ac:dyDescent="0.25">
      <c r="M38699" t="s">
        <v>242</v>
      </c>
    </row>
    <row r="38700" spans="13:13" x14ac:dyDescent="0.25">
      <c r="M38700" t="s">
        <v>243</v>
      </c>
    </row>
    <row r="38701" spans="13:13" x14ac:dyDescent="0.25">
      <c r="M38701" t="s">
        <v>244</v>
      </c>
    </row>
    <row r="38702" spans="13:13" x14ac:dyDescent="0.25">
      <c r="M38702" t="s">
        <v>245</v>
      </c>
    </row>
    <row r="38703" spans="13:13" x14ac:dyDescent="0.25">
      <c r="M38703" t="s">
        <v>246</v>
      </c>
    </row>
    <row r="38704" spans="13:13" x14ac:dyDescent="0.25">
      <c r="M38704" t="s">
        <v>247</v>
      </c>
    </row>
    <row r="38705" spans="13:13" x14ac:dyDescent="0.25">
      <c r="M38705" t="s">
        <v>248</v>
      </c>
    </row>
    <row r="38706" spans="13:13" x14ac:dyDescent="0.25">
      <c r="M38706" t="s">
        <v>249</v>
      </c>
    </row>
    <row r="38707" spans="13:13" x14ac:dyDescent="0.25">
      <c r="M38707" t="s">
        <v>250</v>
      </c>
    </row>
    <row r="38708" spans="13:13" x14ac:dyDescent="0.25">
      <c r="M38708" t="s">
        <v>251</v>
      </c>
    </row>
    <row r="38709" spans="13:13" x14ac:dyDescent="0.25">
      <c r="M38709" t="s">
        <v>252</v>
      </c>
    </row>
    <row r="38710" spans="13:13" x14ac:dyDescent="0.25">
      <c r="M38710" t="s">
        <v>253</v>
      </c>
    </row>
    <row r="38720" spans="13:13" x14ac:dyDescent="0.25">
      <c r="M38720" t="s">
        <v>254</v>
      </c>
    </row>
    <row r="38721" spans="13:13" x14ac:dyDescent="0.25">
      <c r="M38721" t="s">
        <v>83</v>
      </c>
    </row>
    <row r="38735" spans="13:13" x14ac:dyDescent="0.25">
      <c r="M38735" t="s">
        <v>255</v>
      </c>
    </row>
    <row r="38736" spans="13:13" x14ac:dyDescent="0.25">
      <c r="M38736" t="s">
        <v>256</v>
      </c>
    </row>
    <row r="38737" spans="13:13" x14ac:dyDescent="0.25">
      <c r="M38737" t="s">
        <v>257</v>
      </c>
    </row>
    <row r="38738" spans="13:13" x14ac:dyDescent="0.25">
      <c r="M38738" t="s">
        <v>258</v>
      </c>
    </row>
    <row r="38739" spans="13:13" x14ac:dyDescent="0.25">
      <c r="M38739" t="s">
        <v>259</v>
      </c>
    </row>
    <row r="38740" spans="13:13" x14ac:dyDescent="0.25">
      <c r="M38740" t="s">
        <v>260</v>
      </c>
    </row>
    <row r="38741" spans="13:13" x14ac:dyDescent="0.25">
      <c r="M38741" t="s">
        <v>261</v>
      </c>
    </row>
    <row r="38742" spans="13:13" x14ac:dyDescent="0.25">
      <c r="M38742" t="s">
        <v>262</v>
      </c>
    </row>
    <row r="38743" spans="13:13" x14ac:dyDescent="0.25">
      <c r="M38743" t="s">
        <v>263</v>
      </c>
    </row>
    <row r="38794" spans="13:13" x14ac:dyDescent="0.25">
      <c r="M38794" t="s">
        <v>264</v>
      </c>
    </row>
    <row r="38795" spans="13:13" x14ac:dyDescent="0.25">
      <c r="M38795" t="s">
        <v>265</v>
      </c>
    </row>
    <row r="38796" spans="13:13" x14ac:dyDescent="0.25">
      <c r="M38796" t="s">
        <v>266</v>
      </c>
    </row>
    <row r="38845" spans="13:13" x14ac:dyDescent="0.25">
      <c r="M38845" t="s">
        <v>267</v>
      </c>
    </row>
    <row r="38846" spans="13:13" x14ac:dyDescent="0.25">
      <c r="M38846" t="s">
        <v>268</v>
      </c>
    </row>
    <row r="38847" spans="13:13" x14ac:dyDescent="0.25">
      <c r="M38847" t="s">
        <v>269</v>
      </c>
    </row>
    <row r="38848" spans="13:13" x14ac:dyDescent="0.25">
      <c r="M38848" t="s">
        <v>270</v>
      </c>
    </row>
    <row r="38849" spans="13:13" x14ac:dyDescent="0.25">
      <c r="M38849" t="s">
        <v>271</v>
      </c>
    </row>
    <row r="38850" spans="13:13" x14ac:dyDescent="0.25">
      <c r="M38850" t="s">
        <v>272</v>
      </c>
    </row>
    <row r="38871" spans="13:13" x14ac:dyDescent="0.25">
      <c r="M38871" t="s">
        <v>273</v>
      </c>
    </row>
    <row r="38872" spans="13:13" x14ac:dyDescent="0.25">
      <c r="M38872" t="s">
        <v>274</v>
      </c>
    </row>
    <row r="38875" spans="13:13" x14ac:dyDescent="0.25">
      <c r="M38875" t="s">
        <v>275</v>
      </c>
    </row>
    <row r="38876" spans="13:13" x14ac:dyDescent="0.25">
      <c r="M38876" t="s">
        <v>276</v>
      </c>
    </row>
    <row r="38877" spans="13:13" x14ac:dyDescent="0.25">
      <c r="M38877" t="s">
        <v>277</v>
      </c>
    </row>
    <row r="38882" spans="13:13" x14ac:dyDescent="0.25">
      <c r="M38882" t="s">
        <v>278</v>
      </c>
    </row>
    <row r="38883" spans="13:13" x14ac:dyDescent="0.25">
      <c r="M38883" t="s">
        <v>279</v>
      </c>
    </row>
    <row r="38899" spans="13:13" x14ac:dyDescent="0.25">
      <c r="M38899" t="s">
        <v>203</v>
      </c>
    </row>
    <row r="38900" spans="13:13" x14ac:dyDescent="0.25">
      <c r="M38900" t="s">
        <v>204</v>
      </c>
    </row>
    <row r="38901" spans="13:13" x14ac:dyDescent="0.25">
      <c r="M38901" t="s">
        <v>205</v>
      </c>
    </row>
    <row r="38902" spans="13:13" x14ac:dyDescent="0.25">
      <c r="M38902" t="s">
        <v>206</v>
      </c>
    </row>
    <row r="38903" spans="13:13" x14ac:dyDescent="0.25">
      <c r="M38903" t="s">
        <v>207</v>
      </c>
    </row>
    <row r="38904" spans="13:13" x14ac:dyDescent="0.25">
      <c r="M38904" t="s">
        <v>208</v>
      </c>
    </row>
    <row r="38905" spans="13:13" x14ac:dyDescent="0.25">
      <c r="M38905" t="s">
        <v>209</v>
      </c>
    </row>
    <row r="38906" spans="13:13" x14ac:dyDescent="0.25">
      <c r="M38906" t="s">
        <v>210</v>
      </c>
    </row>
    <row r="38926" spans="13:13" x14ac:dyDescent="0.25">
      <c r="M38926" t="s">
        <v>211</v>
      </c>
    </row>
    <row r="38927" spans="13:13" x14ac:dyDescent="0.25">
      <c r="M38927" t="s">
        <v>212</v>
      </c>
    </row>
    <row r="38928" spans="13:13" x14ac:dyDescent="0.25">
      <c r="M38928" t="s">
        <v>213</v>
      </c>
    </row>
    <row r="38929" spans="13:13" x14ac:dyDescent="0.25">
      <c r="M38929" t="s">
        <v>214</v>
      </c>
    </row>
    <row r="38930" spans="13:13" x14ac:dyDescent="0.25">
      <c r="M38930" t="s">
        <v>215</v>
      </c>
    </row>
    <row r="38931" spans="13:13" x14ac:dyDescent="0.25">
      <c r="M38931" t="s">
        <v>216</v>
      </c>
    </row>
    <row r="38932" spans="13:13" x14ac:dyDescent="0.25">
      <c r="M38932" t="s">
        <v>217</v>
      </c>
    </row>
    <row r="38933" spans="13:13" x14ac:dyDescent="0.25">
      <c r="M38933" t="s">
        <v>218</v>
      </c>
    </row>
    <row r="38934" spans="13:13" x14ac:dyDescent="0.25">
      <c r="M38934" t="s">
        <v>219</v>
      </c>
    </row>
    <row r="38935" spans="13:13" x14ac:dyDescent="0.25">
      <c r="M38935" t="s">
        <v>220</v>
      </c>
    </row>
    <row r="38939" spans="13:13" x14ac:dyDescent="0.25">
      <c r="M38939" t="s">
        <v>221</v>
      </c>
    </row>
    <row r="38940" spans="13:13" x14ac:dyDescent="0.25">
      <c r="M38940" t="s">
        <v>222</v>
      </c>
    </row>
    <row r="38941" spans="13:13" x14ac:dyDescent="0.25">
      <c r="M38941" t="s">
        <v>223</v>
      </c>
    </row>
    <row r="38942" spans="13:13" x14ac:dyDescent="0.25">
      <c r="M38942" t="s">
        <v>224</v>
      </c>
    </row>
    <row r="38943" spans="13:13" x14ac:dyDescent="0.25">
      <c r="M38943" t="s">
        <v>225</v>
      </c>
    </row>
    <row r="38944" spans="13:13" x14ac:dyDescent="0.25">
      <c r="M38944" t="s">
        <v>226</v>
      </c>
    </row>
    <row r="38945" spans="13:13" x14ac:dyDescent="0.25">
      <c r="M38945" t="s">
        <v>227</v>
      </c>
    </row>
    <row r="38946" spans="13:13" x14ac:dyDescent="0.25">
      <c r="M38946" t="s">
        <v>228</v>
      </c>
    </row>
    <row r="38947" spans="13:13" x14ac:dyDescent="0.25">
      <c r="M38947" t="s">
        <v>229</v>
      </c>
    </row>
    <row r="38948" spans="13:13" x14ac:dyDescent="0.25">
      <c r="M38948" t="s">
        <v>230</v>
      </c>
    </row>
    <row r="38949" spans="13:13" x14ac:dyDescent="0.25">
      <c r="M38949" t="s">
        <v>231</v>
      </c>
    </row>
    <row r="38950" spans="13:13" x14ac:dyDescent="0.25">
      <c r="M38950" t="s">
        <v>232</v>
      </c>
    </row>
    <row r="38951" spans="13:13" x14ac:dyDescent="0.25">
      <c r="M38951" t="s">
        <v>233</v>
      </c>
    </row>
    <row r="38952" spans="13:13" x14ac:dyDescent="0.25">
      <c r="M38952" t="s">
        <v>234</v>
      </c>
    </row>
    <row r="38953" spans="13:13" x14ac:dyDescent="0.25">
      <c r="M38953" t="s">
        <v>235</v>
      </c>
    </row>
    <row r="38954" spans="13:13" x14ac:dyDescent="0.25">
      <c r="M38954" t="s">
        <v>236</v>
      </c>
    </row>
    <row r="38955" spans="13:13" x14ac:dyDescent="0.25">
      <c r="M38955" t="s">
        <v>237</v>
      </c>
    </row>
    <row r="38956" spans="13:13" x14ac:dyDescent="0.25">
      <c r="M38956" t="s">
        <v>238</v>
      </c>
    </row>
    <row r="38957" spans="13:13" x14ac:dyDescent="0.25">
      <c r="M38957" t="s">
        <v>239</v>
      </c>
    </row>
    <row r="38958" spans="13:13" x14ac:dyDescent="0.25">
      <c r="M38958" t="s">
        <v>240</v>
      </c>
    </row>
    <row r="38959" spans="13:13" x14ac:dyDescent="0.25">
      <c r="M38959" t="s">
        <v>241</v>
      </c>
    </row>
    <row r="38960" spans="13:13" x14ac:dyDescent="0.25">
      <c r="M38960" t="s">
        <v>242</v>
      </c>
    </row>
    <row r="38961" spans="13:13" x14ac:dyDescent="0.25">
      <c r="M38961" t="s">
        <v>243</v>
      </c>
    </row>
    <row r="38962" spans="13:13" x14ac:dyDescent="0.25">
      <c r="M38962" t="s">
        <v>244</v>
      </c>
    </row>
    <row r="38963" spans="13:13" x14ac:dyDescent="0.25">
      <c r="M38963" t="s">
        <v>245</v>
      </c>
    </row>
    <row r="38964" spans="13:13" x14ac:dyDescent="0.25">
      <c r="M38964" t="s">
        <v>246</v>
      </c>
    </row>
    <row r="38965" spans="13:13" x14ac:dyDescent="0.25">
      <c r="M38965" t="s">
        <v>247</v>
      </c>
    </row>
    <row r="38966" spans="13:13" x14ac:dyDescent="0.25">
      <c r="M38966" t="s">
        <v>248</v>
      </c>
    </row>
    <row r="38967" spans="13:13" x14ac:dyDescent="0.25">
      <c r="M38967" t="s">
        <v>249</v>
      </c>
    </row>
    <row r="38968" spans="13:13" x14ac:dyDescent="0.25">
      <c r="M38968" t="s">
        <v>250</v>
      </c>
    </row>
    <row r="38969" spans="13:13" x14ac:dyDescent="0.25">
      <c r="M38969" t="s">
        <v>251</v>
      </c>
    </row>
    <row r="38970" spans="13:13" x14ac:dyDescent="0.25">
      <c r="M38970" t="s">
        <v>252</v>
      </c>
    </row>
    <row r="38971" spans="13:13" x14ac:dyDescent="0.25">
      <c r="M38971" t="s">
        <v>253</v>
      </c>
    </row>
    <row r="38981" spans="13:13" x14ac:dyDescent="0.25">
      <c r="M38981" t="s">
        <v>254</v>
      </c>
    </row>
    <row r="38982" spans="13:13" x14ac:dyDescent="0.25">
      <c r="M38982" t="s">
        <v>83</v>
      </c>
    </row>
    <row r="38996" spans="13:13" x14ac:dyDescent="0.25">
      <c r="M38996" t="s">
        <v>255</v>
      </c>
    </row>
    <row r="38997" spans="13:13" x14ac:dyDescent="0.25">
      <c r="M38997" t="s">
        <v>256</v>
      </c>
    </row>
    <row r="38998" spans="13:13" x14ac:dyDescent="0.25">
      <c r="M38998" t="s">
        <v>257</v>
      </c>
    </row>
    <row r="38999" spans="13:13" x14ac:dyDescent="0.25">
      <c r="M38999" t="s">
        <v>258</v>
      </c>
    </row>
    <row r="39000" spans="13:13" x14ac:dyDescent="0.25">
      <c r="M39000" t="s">
        <v>259</v>
      </c>
    </row>
    <row r="39001" spans="13:13" x14ac:dyDescent="0.25">
      <c r="M39001" t="s">
        <v>260</v>
      </c>
    </row>
    <row r="39002" spans="13:13" x14ac:dyDescent="0.25">
      <c r="M39002" t="s">
        <v>261</v>
      </c>
    </row>
    <row r="39003" spans="13:13" x14ac:dyDescent="0.25">
      <c r="M39003" t="s">
        <v>262</v>
      </c>
    </row>
    <row r="39004" spans="13:13" x14ac:dyDescent="0.25">
      <c r="M39004" t="s">
        <v>263</v>
      </c>
    </row>
    <row r="39055" spans="13:13" x14ac:dyDescent="0.25">
      <c r="M39055" t="s">
        <v>264</v>
      </c>
    </row>
    <row r="39056" spans="13:13" x14ac:dyDescent="0.25">
      <c r="M39056" t="s">
        <v>265</v>
      </c>
    </row>
    <row r="39057" spans="13:13" x14ac:dyDescent="0.25">
      <c r="M39057" t="s">
        <v>266</v>
      </c>
    </row>
    <row r="39106" spans="13:13" x14ac:dyDescent="0.25">
      <c r="M39106" t="s">
        <v>267</v>
      </c>
    </row>
    <row r="39107" spans="13:13" x14ac:dyDescent="0.25">
      <c r="M39107" t="s">
        <v>268</v>
      </c>
    </row>
    <row r="39108" spans="13:13" x14ac:dyDescent="0.25">
      <c r="M39108" t="s">
        <v>269</v>
      </c>
    </row>
    <row r="39109" spans="13:13" x14ac:dyDescent="0.25">
      <c r="M39109" t="s">
        <v>270</v>
      </c>
    </row>
    <row r="39110" spans="13:13" x14ac:dyDescent="0.25">
      <c r="M39110" t="s">
        <v>271</v>
      </c>
    </row>
    <row r="39111" spans="13:13" x14ac:dyDescent="0.25">
      <c r="M39111" t="s">
        <v>272</v>
      </c>
    </row>
    <row r="39132" spans="13:13" x14ac:dyDescent="0.25">
      <c r="M39132" t="s">
        <v>273</v>
      </c>
    </row>
    <row r="39133" spans="13:13" x14ac:dyDescent="0.25">
      <c r="M39133" t="s">
        <v>274</v>
      </c>
    </row>
    <row r="39136" spans="13:13" x14ac:dyDescent="0.25">
      <c r="M39136" t="s">
        <v>275</v>
      </c>
    </row>
    <row r="39137" spans="13:13" x14ac:dyDescent="0.25">
      <c r="M39137" t="s">
        <v>276</v>
      </c>
    </row>
    <row r="39138" spans="13:13" x14ac:dyDescent="0.25">
      <c r="M39138" t="s">
        <v>277</v>
      </c>
    </row>
    <row r="39143" spans="13:13" x14ac:dyDescent="0.25">
      <c r="M39143" t="s">
        <v>278</v>
      </c>
    </row>
    <row r="39144" spans="13:13" x14ac:dyDescent="0.25">
      <c r="M39144" t="s">
        <v>279</v>
      </c>
    </row>
    <row r="39160" spans="13:13" x14ac:dyDescent="0.25">
      <c r="M39160" t="s">
        <v>203</v>
      </c>
    </row>
    <row r="39161" spans="13:13" x14ac:dyDescent="0.25">
      <c r="M39161" t="s">
        <v>204</v>
      </c>
    </row>
    <row r="39162" spans="13:13" x14ac:dyDescent="0.25">
      <c r="M39162" t="s">
        <v>205</v>
      </c>
    </row>
    <row r="39163" spans="13:13" x14ac:dyDescent="0.25">
      <c r="M39163" t="s">
        <v>206</v>
      </c>
    </row>
    <row r="39164" spans="13:13" x14ac:dyDescent="0.25">
      <c r="M39164" t="s">
        <v>207</v>
      </c>
    </row>
    <row r="39165" spans="13:13" x14ac:dyDescent="0.25">
      <c r="M39165" t="s">
        <v>208</v>
      </c>
    </row>
    <row r="39166" spans="13:13" x14ac:dyDescent="0.25">
      <c r="M39166" t="s">
        <v>209</v>
      </c>
    </row>
    <row r="39167" spans="13:13" x14ac:dyDescent="0.25">
      <c r="M39167" t="s">
        <v>210</v>
      </c>
    </row>
    <row r="39187" spans="13:13" x14ac:dyDescent="0.25">
      <c r="M39187" t="s">
        <v>211</v>
      </c>
    </row>
    <row r="39188" spans="13:13" x14ac:dyDescent="0.25">
      <c r="M39188" t="s">
        <v>212</v>
      </c>
    </row>
    <row r="39189" spans="13:13" x14ac:dyDescent="0.25">
      <c r="M39189" t="s">
        <v>213</v>
      </c>
    </row>
    <row r="39190" spans="13:13" x14ac:dyDescent="0.25">
      <c r="M39190" t="s">
        <v>214</v>
      </c>
    </row>
    <row r="39191" spans="13:13" x14ac:dyDescent="0.25">
      <c r="M39191" t="s">
        <v>215</v>
      </c>
    </row>
    <row r="39192" spans="13:13" x14ac:dyDescent="0.25">
      <c r="M39192" t="s">
        <v>216</v>
      </c>
    </row>
    <row r="39193" spans="13:13" x14ac:dyDescent="0.25">
      <c r="M39193" t="s">
        <v>217</v>
      </c>
    </row>
    <row r="39194" spans="13:13" x14ac:dyDescent="0.25">
      <c r="M39194" t="s">
        <v>218</v>
      </c>
    </row>
    <row r="39195" spans="13:13" x14ac:dyDescent="0.25">
      <c r="M39195" t="s">
        <v>219</v>
      </c>
    </row>
    <row r="39196" spans="13:13" x14ac:dyDescent="0.25">
      <c r="M39196" t="s">
        <v>220</v>
      </c>
    </row>
    <row r="39200" spans="13:13" x14ac:dyDescent="0.25">
      <c r="M39200" t="s">
        <v>221</v>
      </c>
    </row>
    <row r="39201" spans="13:13" x14ac:dyDescent="0.25">
      <c r="M39201" t="s">
        <v>222</v>
      </c>
    </row>
    <row r="39202" spans="13:13" x14ac:dyDescent="0.25">
      <c r="M39202" t="s">
        <v>223</v>
      </c>
    </row>
    <row r="39203" spans="13:13" x14ac:dyDescent="0.25">
      <c r="M39203" t="s">
        <v>224</v>
      </c>
    </row>
    <row r="39204" spans="13:13" x14ac:dyDescent="0.25">
      <c r="M39204" t="s">
        <v>225</v>
      </c>
    </row>
    <row r="39205" spans="13:13" x14ac:dyDescent="0.25">
      <c r="M39205" t="s">
        <v>226</v>
      </c>
    </row>
    <row r="39206" spans="13:13" x14ac:dyDescent="0.25">
      <c r="M39206" t="s">
        <v>227</v>
      </c>
    </row>
    <row r="39207" spans="13:13" x14ac:dyDescent="0.25">
      <c r="M39207" t="s">
        <v>228</v>
      </c>
    </row>
    <row r="39208" spans="13:13" x14ac:dyDescent="0.25">
      <c r="M39208" t="s">
        <v>229</v>
      </c>
    </row>
    <row r="39209" spans="13:13" x14ac:dyDescent="0.25">
      <c r="M39209" t="s">
        <v>230</v>
      </c>
    </row>
    <row r="39210" spans="13:13" x14ac:dyDescent="0.25">
      <c r="M39210" t="s">
        <v>231</v>
      </c>
    </row>
    <row r="39211" spans="13:13" x14ac:dyDescent="0.25">
      <c r="M39211" t="s">
        <v>232</v>
      </c>
    </row>
    <row r="39212" spans="13:13" x14ac:dyDescent="0.25">
      <c r="M39212" t="s">
        <v>233</v>
      </c>
    </row>
    <row r="39213" spans="13:13" x14ac:dyDescent="0.25">
      <c r="M39213" t="s">
        <v>234</v>
      </c>
    </row>
    <row r="39214" spans="13:13" x14ac:dyDescent="0.25">
      <c r="M39214" t="s">
        <v>235</v>
      </c>
    </row>
    <row r="39215" spans="13:13" x14ac:dyDescent="0.25">
      <c r="M39215" t="s">
        <v>236</v>
      </c>
    </row>
    <row r="39216" spans="13:13" x14ac:dyDescent="0.25">
      <c r="M39216" t="s">
        <v>237</v>
      </c>
    </row>
    <row r="39217" spans="13:13" x14ac:dyDescent="0.25">
      <c r="M39217" t="s">
        <v>238</v>
      </c>
    </row>
    <row r="39218" spans="13:13" x14ac:dyDescent="0.25">
      <c r="M39218" t="s">
        <v>239</v>
      </c>
    </row>
    <row r="39219" spans="13:13" x14ac:dyDescent="0.25">
      <c r="M39219" t="s">
        <v>240</v>
      </c>
    </row>
    <row r="39220" spans="13:13" x14ac:dyDescent="0.25">
      <c r="M39220" t="s">
        <v>241</v>
      </c>
    </row>
    <row r="39221" spans="13:13" x14ac:dyDescent="0.25">
      <c r="M39221" t="s">
        <v>242</v>
      </c>
    </row>
    <row r="39222" spans="13:13" x14ac:dyDescent="0.25">
      <c r="M39222" t="s">
        <v>243</v>
      </c>
    </row>
    <row r="39223" spans="13:13" x14ac:dyDescent="0.25">
      <c r="M39223" t="s">
        <v>244</v>
      </c>
    </row>
    <row r="39224" spans="13:13" x14ac:dyDescent="0.25">
      <c r="M39224" t="s">
        <v>245</v>
      </c>
    </row>
    <row r="39225" spans="13:13" x14ac:dyDescent="0.25">
      <c r="M39225" t="s">
        <v>246</v>
      </c>
    </row>
    <row r="39226" spans="13:13" x14ac:dyDescent="0.25">
      <c r="M39226" t="s">
        <v>247</v>
      </c>
    </row>
    <row r="39227" spans="13:13" x14ac:dyDescent="0.25">
      <c r="M39227" t="s">
        <v>248</v>
      </c>
    </row>
    <row r="39228" spans="13:13" x14ac:dyDescent="0.25">
      <c r="M39228" t="s">
        <v>249</v>
      </c>
    </row>
    <row r="39229" spans="13:13" x14ac:dyDescent="0.25">
      <c r="M39229" t="s">
        <v>250</v>
      </c>
    </row>
    <row r="39230" spans="13:13" x14ac:dyDescent="0.25">
      <c r="M39230" t="s">
        <v>251</v>
      </c>
    </row>
    <row r="39231" spans="13:13" x14ac:dyDescent="0.25">
      <c r="M39231" t="s">
        <v>252</v>
      </c>
    </row>
    <row r="39232" spans="13:13" x14ac:dyDescent="0.25">
      <c r="M39232" t="s">
        <v>253</v>
      </c>
    </row>
    <row r="39242" spans="13:13" x14ac:dyDescent="0.25">
      <c r="M39242" t="s">
        <v>254</v>
      </c>
    </row>
    <row r="39243" spans="13:13" x14ac:dyDescent="0.25">
      <c r="M39243" t="s">
        <v>83</v>
      </c>
    </row>
    <row r="39257" spans="13:13" x14ac:dyDescent="0.25">
      <c r="M39257" t="s">
        <v>255</v>
      </c>
    </row>
    <row r="39258" spans="13:13" x14ac:dyDescent="0.25">
      <c r="M39258" t="s">
        <v>256</v>
      </c>
    </row>
    <row r="39259" spans="13:13" x14ac:dyDescent="0.25">
      <c r="M39259" t="s">
        <v>257</v>
      </c>
    </row>
    <row r="39260" spans="13:13" x14ac:dyDescent="0.25">
      <c r="M39260" t="s">
        <v>258</v>
      </c>
    </row>
    <row r="39261" spans="13:13" x14ac:dyDescent="0.25">
      <c r="M39261" t="s">
        <v>259</v>
      </c>
    </row>
    <row r="39262" spans="13:13" x14ac:dyDescent="0.25">
      <c r="M39262" t="s">
        <v>260</v>
      </c>
    </row>
    <row r="39263" spans="13:13" x14ac:dyDescent="0.25">
      <c r="M39263" t="s">
        <v>261</v>
      </c>
    </row>
    <row r="39264" spans="13:13" x14ac:dyDescent="0.25">
      <c r="M39264" t="s">
        <v>262</v>
      </c>
    </row>
    <row r="39265" spans="13:13" x14ac:dyDescent="0.25">
      <c r="M39265" t="s">
        <v>263</v>
      </c>
    </row>
    <row r="39316" spans="13:13" x14ac:dyDescent="0.25">
      <c r="M39316" t="s">
        <v>264</v>
      </c>
    </row>
    <row r="39317" spans="13:13" x14ac:dyDescent="0.25">
      <c r="M39317" t="s">
        <v>265</v>
      </c>
    </row>
    <row r="39318" spans="13:13" x14ac:dyDescent="0.25">
      <c r="M39318" t="s">
        <v>266</v>
      </c>
    </row>
    <row r="39367" spans="13:13" x14ac:dyDescent="0.25">
      <c r="M39367" t="s">
        <v>267</v>
      </c>
    </row>
    <row r="39368" spans="13:13" x14ac:dyDescent="0.25">
      <c r="M39368" t="s">
        <v>268</v>
      </c>
    </row>
    <row r="39369" spans="13:13" x14ac:dyDescent="0.25">
      <c r="M39369" t="s">
        <v>269</v>
      </c>
    </row>
    <row r="39370" spans="13:13" x14ac:dyDescent="0.25">
      <c r="M39370" t="s">
        <v>270</v>
      </c>
    </row>
    <row r="39371" spans="13:13" x14ac:dyDescent="0.25">
      <c r="M39371" t="s">
        <v>271</v>
      </c>
    </row>
    <row r="39372" spans="13:13" x14ac:dyDescent="0.25">
      <c r="M39372" t="s">
        <v>272</v>
      </c>
    </row>
    <row r="39393" spans="13:13" x14ac:dyDescent="0.25">
      <c r="M39393" t="s">
        <v>273</v>
      </c>
    </row>
    <row r="39394" spans="13:13" x14ac:dyDescent="0.25">
      <c r="M39394" t="s">
        <v>274</v>
      </c>
    </row>
    <row r="39397" spans="13:13" x14ac:dyDescent="0.25">
      <c r="M39397" t="s">
        <v>275</v>
      </c>
    </row>
    <row r="39398" spans="13:13" x14ac:dyDescent="0.25">
      <c r="M39398" t="s">
        <v>276</v>
      </c>
    </row>
    <row r="39399" spans="13:13" x14ac:dyDescent="0.25">
      <c r="M39399" t="s">
        <v>277</v>
      </c>
    </row>
    <row r="39404" spans="13:13" x14ac:dyDescent="0.25">
      <c r="M39404" t="s">
        <v>278</v>
      </c>
    </row>
    <row r="39405" spans="13:13" x14ac:dyDescent="0.25">
      <c r="M39405" t="s">
        <v>279</v>
      </c>
    </row>
    <row r="39421" spans="13:13" x14ac:dyDescent="0.25">
      <c r="M39421" t="s">
        <v>203</v>
      </c>
    </row>
    <row r="39422" spans="13:13" x14ac:dyDescent="0.25">
      <c r="M39422" t="s">
        <v>204</v>
      </c>
    </row>
    <row r="39423" spans="13:13" x14ac:dyDescent="0.25">
      <c r="M39423" t="s">
        <v>205</v>
      </c>
    </row>
    <row r="39424" spans="13:13" x14ac:dyDescent="0.25">
      <c r="M39424" t="s">
        <v>206</v>
      </c>
    </row>
    <row r="39425" spans="13:13" x14ac:dyDescent="0.25">
      <c r="M39425" t="s">
        <v>207</v>
      </c>
    </row>
    <row r="39426" spans="13:13" x14ac:dyDescent="0.25">
      <c r="M39426" t="s">
        <v>208</v>
      </c>
    </row>
    <row r="39427" spans="13:13" x14ac:dyDescent="0.25">
      <c r="M39427" t="s">
        <v>209</v>
      </c>
    </row>
    <row r="39428" spans="13:13" x14ac:dyDescent="0.25">
      <c r="M39428" t="s">
        <v>210</v>
      </c>
    </row>
    <row r="39448" spans="13:13" x14ac:dyDescent="0.25">
      <c r="M39448" t="s">
        <v>211</v>
      </c>
    </row>
    <row r="39449" spans="13:13" x14ac:dyDescent="0.25">
      <c r="M39449" t="s">
        <v>212</v>
      </c>
    </row>
    <row r="39450" spans="13:13" x14ac:dyDescent="0.25">
      <c r="M39450" t="s">
        <v>213</v>
      </c>
    </row>
    <row r="39451" spans="13:13" x14ac:dyDescent="0.25">
      <c r="M39451" t="s">
        <v>214</v>
      </c>
    </row>
    <row r="39452" spans="13:13" x14ac:dyDescent="0.25">
      <c r="M39452" t="s">
        <v>215</v>
      </c>
    </row>
    <row r="39453" spans="13:13" x14ac:dyDescent="0.25">
      <c r="M39453" t="s">
        <v>216</v>
      </c>
    </row>
    <row r="39454" spans="13:13" x14ac:dyDescent="0.25">
      <c r="M39454" t="s">
        <v>217</v>
      </c>
    </row>
    <row r="39455" spans="13:13" x14ac:dyDescent="0.25">
      <c r="M39455" t="s">
        <v>218</v>
      </c>
    </row>
    <row r="39456" spans="13:13" x14ac:dyDescent="0.25">
      <c r="M39456" t="s">
        <v>219</v>
      </c>
    </row>
    <row r="39457" spans="13:13" x14ac:dyDescent="0.25">
      <c r="M39457" t="s">
        <v>220</v>
      </c>
    </row>
    <row r="39461" spans="13:13" x14ac:dyDescent="0.25">
      <c r="M39461" t="s">
        <v>221</v>
      </c>
    </row>
    <row r="39462" spans="13:13" x14ac:dyDescent="0.25">
      <c r="M39462" t="s">
        <v>222</v>
      </c>
    </row>
    <row r="39463" spans="13:13" x14ac:dyDescent="0.25">
      <c r="M39463" t="s">
        <v>223</v>
      </c>
    </row>
    <row r="39464" spans="13:13" x14ac:dyDescent="0.25">
      <c r="M39464" t="s">
        <v>224</v>
      </c>
    </row>
    <row r="39465" spans="13:13" x14ac:dyDescent="0.25">
      <c r="M39465" t="s">
        <v>225</v>
      </c>
    </row>
    <row r="39466" spans="13:13" x14ac:dyDescent="0.25">
      <c r="M39466" t="s">
        <v>226</v>
      </c>
    </row>
    <row r="39467" spans="13:13" x14ac:dyDescent="0.25">
      <c r="M39467" t="s">
        <v>227</v>
      </c>
    </row>
    <row r="39468" spans="13:13" x14ac:dyDescent="0.25">
      <c r="M39468" t="s">
        <v>228</v>
      </c>
    </row>
    <row r="39469" spans="13:13" x14ac:dyDescent="0.25">
      <c r="M39469" t="s">
        <v>229</v>
      </c>
    </row>
    <row r="39470" spans="13:13" x14ac:dyDescent="0.25">
      <c r="M39470" t="s">
        <v>230</v>
      </c>
    </row>
    <row r="39471" spans="13:13" x14ac:dyDescent="0.25">
      <c r="M39471" t="s">
        <v>231</v>
      </c>
    </row>
    <row r="39472" spans="13:13" x14ac:dyDescent="0.25">
      <c r="M39472" t="s">
        <v>232</v>
      </c>
    </row>
    <row r="39473" spans="13:13" x14ac:dyDescent="0.25">
      <c r="M39473" t="s">
        <v>233</v>
      </c>
    </row>
    <row r="39474" spans="13:13" x14ac:dyDescent="0.25">
      <c r="M39474" t="s">
        <v>234</v>
      </c>
    </row>
    <row r="39475" spans="13:13" x14ac:dyDescent="0.25">
      <c r="M39475" t="s">
        <v>235</v>
      </c>
    </row>
    <row r="39476" spans="13:13" x14ac:dyDescent="0.25">
      <c r="M39476" t="s">
        <v>236</v>
      </c>
    </row>
    <row r="39477" spans="13:13" x14ac:dyDescent="0.25">
      <c r="M39477" t="s">
        <v>237</v>
      </c>
    </row>
    <row r="39478" spans="13:13" x14ac:dyDescent="0.25">
      <c r="M39478" t="s">
        <v>238</v>
      </c>
    </row>
    <row r="39479" spans="13:13" x14ac:dyDescent="0.25">
      <c r="M39479" t="s">
        <v>239</v>
      </c>
    </row>
    <row r="39480" spans="13:13" x14ac:dyDescent="0.25">
      <c r="M39480" t="s">
        <v>240</v>
      </c>
    </row>
    <row r="39481" spans="13:13" x14ac:dyDescent="0.25">
      <c r="M39481" t="s">
        <v>241</v>
      </c>
    </row>
    <row r="39482" spans="13:13" x14ac:dyDescent="0.25">
      <c r="M39482" t="s">
        <v>242</v>
      </c>
    </row>
    <row r="39483" spans="13:13" x14ac:dyDescent="0.25">
      <c r="M39483" t="s">
        <v>243</v>
      </c>
    </row>
    <row r="39484" spans="13:13" x14ac:dyDescent="0.25">
      <c r="M39484" t="s">
        <v>244</v>
      </c>
    </row>
    <row r="39485" spans="13:13" x14ac:dyDescent="0.25">
      <c r="M39485" t="s">
        <v>245</v>
      </c>
    </row>
    <row r="39486" spans="13:13" x14ac:dyDescent="0.25">
      <c r="M39486" t="s">
        <v>246</v>
      </c>
    </row>
    <row r="39487" spans="13:13" x14ac:dyDescent="0.25">
      <c r="M39487" t="s">
        <v>247</v>
      </c>
    </row>
    <row r="39488" spans="13:13" x14ac:dyDescent="0.25">
      <c r="M39488" t="s">
        <v>248</v>
      </c>
    </row>
    <row r="39489" spans="13:13" x14ac:dyDescent="0.25">
      <c r="M39489" t="s">
        <v>249</v>
      </c>
    </row>
    <row r="39490" spans="13:13" x14ac:dyDescent="0.25">
      <c r="M39490" t="s">
        <v>250</v>
      </c>
    </row>
    <row r="39491" spans="13:13" x14ac:dyDescent="0.25">
      <c r="M39491" t="s">
        <v>251</v>
      </c>
    </row>
    <row r="39492" spans="13:13" x14ac:dyDescent="0.25">
      <c r="M39492" t="s">
        <v>252</v>
      </c>
    </row>
    <row r="39493" spans="13:13" x14ac:dyDescent="0.25">
      <c r="M39493" t="s">
        <v>253</v>
      </c>
    </row>
    <row r="39503" spans="13:13" x14ac:dyDescent="0.25">
      <c r="M39503" t="s">
        <v>254</v>
      </c>
    </row>
    <row r="39504" spans="13:13" x14ac:dyDescent="0.25">
      <c r="M39504" t="s">
        <v>83</v>
      </c>
    </row>
    <row r="39518" spans="13:13" x14ac:dyDescent="0.25">
      <c r="M39518" t="s">
        <v>255</v>
      </c>
    </row>
    <row r="39519" spans="13:13" x14ac:dyDescent="0.25">
      <c r="M39519" t="s">
        <v>256</v>
      </c>
    </row>
    <row r="39520" spans="13:13" x14ac:dyDescent="0.25">
      <c r="M39520" t="s">
        <v>257</v>
      </c>
    </row>
    <row r="39521" spans="13:13" x14ac:dyDescent="0.25">
      <c r="M39521" t="s">
        <v>258</v>
      </c>
    </row>
    <row r="39522" spans="13:13" x14ac:dyDescent="0.25">
      <c r="M39522" t="s">
        <v>259</v>
      </c>
    </row>
    <row r="39523" spans="13:13" x14ac:dyDescent="0.25">
      <c r="M39523" t="s">
        <v>260</v>
      </c>
    </row>
    <row r="39524" spans="13:13" x14ac:dyDescent="0.25">
      <c r="M39524" t="s">
        <v>261</v>
      </c>
    </row>
    <row r="39525" spans="13:13" x14ac:dyDescent="0.25">
      <c r="M39525" t="s">
        <v>262</v>
      </c>
    </row>
    <row r="39526" spans="13:13" x14ac:dyDescent="0.25">
      <c r="M39526" t="s">
        <v>263</v>
      </c>
    </row>
    <row r="39577" spans="13:13" x14ac:dyDescent="0.25">
      <c r="M39577" t="s">
        <v>264</v>
      </c>
    </row>
    <row r="39578" spans="13:13" x14ac:dyDescent="0.25">
      <c r="M39578" t="s">
        <v>265</v>
      </c>
    </row>
    <row r="39579" spans="13:13" x14ac:dyDescent="0.25">
      <c r="M39579" t="s">
        <v>266</v>
      </c>
    </row>
    <row r="39628" spans="13:13" x14ac:dyDescent="0.25">
      <c r="M39628" t="s">
        <v>267</v>
      </c>
    </row>
    <row r="39629" spans="13:13" x14ac:dyDescent="0.25">
      <c r="M39629" t="s">
        <v>268</v>
      </c>
    </row>
    <row r="39630" spans="13:13" x14ac:dyDescent="0.25">
      <c r="M39630" t="s">
        <v>269</v>
      </c>
    </row>
    <row r="39631" spans="13:13" x14ac:dyDescent="0.25">
      <c r="M39631" t="s">
        <v>270</v>
      </c>
    </row>
    <row r="39632" spans="13:13" x14ac:dyDescent="0.25">
      <c r="M39632" t="s">
        <v>271</v>
      </c>
    </row>
    <row r="39633" spans="13:13" x14ac:dyDescent="0.25">
      <c r="M39633" t="s">
        <v>272</v>
      </c>
    </row>
    <row r="39654" spans="13:13" x14ac:dyDescent="0.25">
      <c r="M39654" t="s">
        <v>273</v>
      </c>
    </row>
    <row r="39655" spans="13:13" x14ac:dyDescent="0.25">
      <c r="M39655" t="s">
        <v>274</v>
      </c>
    </row>
    <row r="39658" spans="13:13" x14ac:dyDescent="0.25">
      <c r="M39658" t="s">
        <v>275</v>
      </c>
    </row>
    <row r="39659" spans="13:13" x14ac:dyDescent="0.25">
      <c r="M39659" t="s">
        <v>276</v>
      </c>
    </row>
    <row r="39660" spans="13:13" x14ac:dyDescent="0.25">
      <c r="M39660" t="s">
        <v>277</v>
      </c>
    </row>
    <row r="39665" spans="13:13" x14ac:dyDescent="0.25">
      <c r="M39665" t="s">
        <v>278</v>
      </c>
    </row>
    <row r="39666" spans="13:13" x14ac:dyDescent="0.25">
      <c r="M39666" t="s">
        <v>279</v>
      </c>
    </row>
    <row r="39682" spans="13:13" x14ac:dyDescent="0.25">
      <c r="M39682" t="s">
        <v>203</v>
      </c>
    </row>
    <row r="39683" spans="13:13" x14ac:dyDescent="0.25">
      <c r="M39683" t="s">
        <v>204</v>
      </c>
    </row>
    <row r="39684" spans="13:13" x14ac:dyDescent="0.25">
      <c r="M39684" t="s">
        <v>205</v>
      </c>
    </row>
    <row r="39685" spans="13:13" x14ac:dyDescent="0.25">
      <c r="M39685" t="s">
        <v>206</v>
      </c>
    </row>
    <row r="39686" spans="13:13" x14ac:dyDescent="0.25">
      <c r="M39686" t="s">
        <v>207</v>
      </c>
    </row>
    <row r="39687" spans="13:13" x14ac:dyDescent="0.25">
      <c r="M39687" t="s">
        <v>208</v>
      </c>
    </row>
    <row r="39688" spans="13:13" x14ac:dyDescent="0.25">
      <c r="M39688" t="s">
        <v>209</v>
      </c>
    </row>
    <row r="39689" spans="13:13" x14ac:dyDescent="0.25">
      <c r="M39689" t="s">
        <v>210</v>
      </c>
    </row>
    <row r="39709" spans="13:13" x14ac:dyDescent="0.25">
      <c r="M39709" t="s">
        <v>211</v>
      </c>
    </row>
    <row r="39710" spans="13:13" x14ac:dyDescent="0.25">
      <c r="M39710" t="s">
        <v>212</v>
      </c>
    </row>
    <row r="39711" spans="13:13" x14ac:dyDescent="0.25">
      <c r="M39711" t="s">
        <v>213</v>
      </c>
    </row>
    <row r="39712" spans="13:13" x14ac:dyDescent="0.25">
      <c r="M39712" t="s">
        <v>214</v>
      </c>
    </row>
    <row r="39713" spans="13:13" x14ac:dyDescent="0.25">
      <c r="M39713" t="s">
        <v>215</v>
      </c>
    </row>
    <row r="39714" spans="13:13" x14ac:dyDescent="0.25">
      <c r="M39714" t="s">
        <v>216</v>
      </c>
    </row>
    <row r="39715" spans="13:13" x14ac:dyDescent="0.25">
      <c r="M39715" t="s">
        <v>217</v>
      </c>
    </row>
    <row r="39716" spans="13:13" x14ac:dyDescent="0.25">
      <c r="M39716" t="s">
        <v>218</v>
      </c>
    </row>
    <row r="39717" spans="13:13" x14ac:dyDescent="0.25">
      <c r="M39717" t="s">
        <v>219</v>
      </c>
    </row>
    <row r="39718" spans="13:13" x14ac:dyDescent="0.25">
      <c r="M39718" t="s">
        <v>220</v>
      </c>
    </row>
    <row r="39722" spans="13:13" x14ac:dyDescent="0.25">
      <c r="M39722" t="s">
        <v>221</v>
      </c>
    </row>
    <row r="39723" spans="13:13" x14ac:dyDescent="0.25">
      <c r="M39723" t="s">
        <v>222</v>
      </c>
    </row>
    <row r="39724" spans="13:13" x14ac:dyDescent="0.25">
      <c r="M39724" t="s">
        <v>223</v>
      </c>
    </row>
    <row r="39725" spans="13:13" x14ac:dyDescent="0.25">
      <c r="M39725" t="s">
        <v>224</v>
      </c>
    </row>
    <row r="39726" spans="13:13" x14ac:dyDescent="0.25">
      <c r="M39726" t="s">
        <v>225</v>
      </c>
    </row>
    <row r="39727" spans="13:13" x14ac:dyDescent="0.25">
      <c r="M39727" t="s">
        <v>226</v>
      </c>
    </row>
    <row r="39728" spans="13:13" x14ac:dyDescent="0.25">
      <c r="M39728" t="s">
        <v>227</v>
      </c>
    </row>
    <row r="39729" spans="13:13" x14ac:dyDescent="0.25">
      <c r="M39729" t="s">
        <v>228</v>
      </c>
    </row>
    <row r="39730" spans="13:13" x14ac:dyDescent="0.25">
      <c r="M39730" t="s">
        <v>229</v>
      </c>
    </row>
    <row r="39731" spans="13:13" x14ac:dyDescent="0.25">
      <c r="M39731" t="s">
        <v>230</v>
      </c>
    </row>
    <row r="39732" spans="13:13" x14ac:dyDescent="0.25">
      <c r="M39732" t="s">
        <v>231</v>
      </c>
    </row>
    <row r="39733" spans="13:13" x14ac:dyDescent="0.25">
      <c r="M39733" t="s">
        <v>232</v>
      </c>
    </row>
    <row r="39734" spans="13:13" x14ac:dyDescent="0.25">
      <c r="M39734" t="s">
        <v>233</v>
      </c>
    </row>
    <row r="39735" spans="13:13" x14ac:dyDescent="0.25">
      <c r="M39735" t="s">
        <v>234</v>
      </c>
    </row>
    <row r="39736" spans="13:13" x14ac:dyDescent="0.25">
      <c r="M39736" t="s">
        <v>235</v>
      </c>
    </row>
    <row r="39737" spans="13:13" x14ac:dyDescent="0.25">
      <c r="M39737" t="s">
        <v>236</v>
      </c>
    </row>
    <row r="39738" spans="13:13" x14ac:dyDescent="0.25">
      <c r="M39738" t="s">
        <v>237</v>
      </c>
    </row>
    <row r="39739" spans="13:13" x14ac:dyDescent="0.25">
      <c r="M39739" t="s">
        <v>238</v>
      </c>
    </row>
    <row r="39740" spans="13:13" x14ac:dyDescent="0.25">
      <c r="M39740" t="s">
        <v>239</v>
      </c>
    </row>
    <row r="39741" spans="13:13" x14ac:dyDescent="0.25">
      <c r="M39741" t="s">
        <v>240</v>
      </c>
    </row>
    <row r="39742" spans="13:13" x14ac:dyDescent="0.25">
      <c r="M39742" t="s">
        <v>241</v>
      </c>
    </row>
    <row r="39743" spans="13:13" x14ac:dyDescent="0.25">
      <c r="M39743" t="s">
        <v>242</v>
      </c>
    </row>
    <row r="39744" spans="13:13" x14ac:dyDescent="0.25">
      <c r="M39744" t="s">
        <v>243</v>
      </c>
    </row>
    <row r="39745" spans="13:13" x14ac:dyDescent="0.25">
      <c r="M39745" t="s">
        <v>244</v>
      </c>
    </row>
    <row r="39746" spans="13:13" x14ac:dyDescent="0.25">
      <c r="M39746" t="s">
        <v>245</v>
      </c>
    </row>
    <row r="39747" spans="13:13" x14ac:dyDescent="0.25">
      <c r="M39747" t="s">
        <v>246</v>
      </c>
    </row>
    <row r="39748" spans="13:13" x14ac:dyDescent="0.25">
      <c r="M39748" t="s">
        <v>247</v>
      </c>
    </row>
    <row r="39749" spans="13:13" x14ac:dyDescent="0.25">
      <c r="M39749" t="s">
        <v>248</v>
      </c>
    </row>
    <row r="39750" spans="13:13" x14ac:dyDescent="0.25">
      <c r="M39750" t="s">
        <v>249</v>
      </c>
    </row>
    <row r="39751" spans="13:13" x14ac:dyDescent="0.25">
      <c r="M39751" t="s">
        <v>250</v>
      </c>
    </row>
    <row r="39752" spans="13:13" x14ac:dyDescent="0.25">
      <c r="M39752" t="s">
        <v>251</v>
      </c>
    </row>
    <row r="39753" spans="13:13" x14ac:dyDescent="0.25">
      <c r="M39753" t="s">
        <v>252</v>
      </c>
    </row>
    <row r="39754" spans="13:13" x14ac:dyDescent="0.25">
      <c r="M39754" t="s">
        <v>253</v>
      </c>
    </row>
    <row r="39764" spans="13:13" x14ac:dyDescent="0.25">
      <c r="M39764" t="s">
        <v>254</v>
      </c>
    </row>
    <row r="39765" spans="13:13" x14ac:dyDescent="0.25">
      <c r="M39765" t="s">
        <v>83</v>
      </c>
    </row>
    <row r="39779" spans="13:13" x14ac:dyDescent="0.25">
      <c r="M39779" t="s">
        <v>255</v>
      </c>
    </row>
    <row r="39780" spans="13:13" x14ac:dyDescent="0.25">
      <c r="M39780" t="s">
        <v>256</v>
      </c>
    </row>
    <row r="39781" spans="13:13" x14ac:dyDescent="0.25">
      <c r="M39781" t="s">
        <v>257</v>
      </c>
    </row>
    <row r="39782" spans="13:13" x14ac:dyDescent="0.25">
      <c r="M39782" t="s">
        <v>258</v>
      </c>
    </row>
    <row r="39783" spans="13:13" x14ac:dyDescent="0.25">
      <c r="M39783" t="s">
        <v>259</v>
      </c>
    </row>
    <row r="39784" spans="13:13" x14ac:dyDescent="0.25">
      <c r="M39784" t="s">
        <v>260</v>
      </c>
    </row>
    <row r="39785" spans="13:13" x14ac:dyDescent="0.25">
      <c r="M39785" t="s">
        <v>261</v>
      </c>
    </row>
    <row r="39786" spans="13:13" x14ac:dyDescent="0.25">
      <c r="M39786" t="s">
        <v>262</v>
      </c>
    </row>
    <row r="39787" spans="13:13" x14ac:dyDescent="0.25">
      <c r="M39787" t="s">
        <v>263</v>
      </c>
    </row>
    <row r="39838" spans="13:13" x14ac:dyDescent="0.25">
      <c r="M39838" t="s">
        <v>264</v>
      </c>
    </row>
    <row r="39839" spans="13:13" x14ac:dyDescent="0.25">
      <c r="M39839" t="s">
        <v>265</v>
      </c>
    </row>
    <row r="39840" spans="13:13" x14ac:dyDescent="0.25">
      <c r="M39840" t="s">
        <v>266</v>
      </c>
    </row>
    <row r="39889" spans="13:13" x14ac:dyDescent="0.25">
      <c r="M39889" t="s">
        <v>267</v>
      </c>
    </row>
    <row r="39890" spans="13:13" x14ac:dyDescent="0.25">
      <c r="M39890" t="s">
        <v>268</v>
      </c>
    </row>
    <row r="39891" spans="13:13" x14ac:dyDescent="0.25">
      <c r="M39891" t="s">
        <v>269</v>
      </c>
    </row>
    <row r="39892" spans="13:13" x14ac:dyDescent="0.25">
      <c r="M39892" t="s">
        <v>270</v>
      </c>
    </row>
    <row r="39893" spans="13:13" x14ac:dyDescent="0.25">
      <c r="M39893" t="s">
        <v>271</v>
      </c>
    </row>
    <row r="39894" spans="13:13" x14ac:dyDescent="0.25">
      <c r="M39894" t="s">
        <v>272</v>
      </c>
    </row>
    <row r="39915" spans="13:13" x14ac:dyDescent="0.25">
      <c r="M39915" t="s">
        <v>273</v>
      </c>
    </row>
    <row r="39916" spans="13:13" x14ac:dyDescent="0.25">
      <c r="M39916" t="s">
        <v>274</v>
      </c>
    </row>
    <row r="39919" spans="13:13" x14ac:dyDescent="0.25">
      <c r="M39919" t="s">
        <v>275</v>
      </c>
    </row>
    <row r="39920" spans="13:13" x14ac:dyDescent="0.25">
      <c r="M39920" t="s">
        <v>276</v>
      </c>
    </row>
    <row r="39921" spans="13:13" x14ac:dyDescent="0.25">
      <c r="M39921" t="s">
        <v>277</v>
      </c>
    </row>
    <row r="39926" spans="13:13" x14ac:dyDescent="0.25">
      <c r="M39926" t="s">
        <v>278</v>
      </c>
    </row>
    <row r="39927" spans="13:13" x14ac:dyDescent="0.25">
      <c r="M39927" t="s">
        <v>279</v>
      </c>
    </row>
    <row r="39943" spans="13:13" x14ac:dyDescent="0.25">
      <c r="M39943" t="s">
        <v>203</v>
      </c>
    </row>
    <row r="39944" spans="13:13" x14ac:dyDescent="0.25">
      <c r="M39944" t="s">
        <v>204</v>
      </c>
    </row>
    <row r="39945" spans="13:13" x14ac:dyDescent="0.25">
      <c r="M39945" t="s">
        <v>205</v>
      </c>
    </row>
    <row r="39946" spans="13:13" x14ac:dyDescent="0.25">
      <c r="M39946" t="s">
        <v>206</v>
      </c>
    </row>
    <row r="39947" spans="13:13" x14ac:dyDescent="0.25">
      <c r="M39947" t="s">
        <v>207</v>
      </c>
    </row>
    <row r="39948" spans="13:13" x14ac:dyDescent="0.25">
      <c r="M39948" t="s">
        <v>208</v>
      </c>
    </row>
    <row r="39949" spans="13:13" x14ac:dyDescent="0.25">
      <c r="M39949" t="s">
        <v>209</v>
      </c>
    </row>
    <row r="39950" spans="13:13" x14ac:dyDescent="0.25">
      <c r="M39950" t="s">
        <v>210</v>
      </c>
    </row>
    <row r="39970" spans="13:13" x14ac:dyDescent="0.25">
      <c r="M39970" t="s">
        <v>211</v>
      </c>
    </row>
    <row r="39971" spans="13:13" x14ac:dyDescent="0.25">
      <c r="M39971" t="s">
        <v>212</v>
      </c>
    </row>
    <row r="39972" spans="13:13" x14ac:dyDescent="0.25">
      <c r="M39972" t="s">
        <v>213</v>
      </c>
    </row>
    <row r="39973" spans="13:13" x14ac:dyDescent="0.25">
      <c r="M39973" t="s">
        <v>214</v>
      </c>
    </row>
    <row r="39974" spans="13:13" x14ac:dyDescent="0.25">
      <c r="M39974" t="s">
        <v>215</v>
      </c>
    </row>
    <row r="39975" spans="13:13" x14ac:dyDescent="0.25">
      <c r="M39975" t="s">
        <v>216</v>
      </c>
    </row>
    <row r="39976" spans="13:13" x14ac:dyDescent="0.25">
      <c r="M39976" t="s">
        <v>217</v>
      </c>
    </row>
    <row r="39977" spans="13:13" x14ac:dyDescent="0.25">
      <c r="M39977" t="s">
        <v>218</v>
      </c>
    </row>
    <row r="39978" spans="13:13" x14ac:dyDescent="0.25">
      <c r="M39978" t="s">
        <v>219</v>
      </c>
    </row>
    <row r="39979" spans="13:13" x14ac:dyDescent="0.25">
      <c r="M39979" t="s">
        <v>220</v>
      </c>
    </row>
    <row r="39983" spans="13:13" x14ac:dyDescent="0.25">
      <c r="M39983" t="s">
        <v>221</v>
      </c>
    </row>
    <row r="39984" spans="13:13" x14ac:dyDescent="0.25">
      <c r="M39984" t="s">
        <v>222</v>
      </c>
    </row>
    <row r="39985" spans="13:13" x14ac:dyDescent="0.25">
      <c r="M39985" t="s">
        <v>223</v>
      </c>
    </row>
    <row r="39986" spans="13:13" x14ac:dyDescent="0.25">
      <c r="M39986" t="s">
        <v>224</v>
      </c>
    </row>
    <row r="39987" spans="13:13" x14ac:dyDescent="0.25">
      <c r="M39987" t="s">
        <v>225</v>
      </c>
    </row>
    <row r="39988" spans="13:13" x14ac:dyDescent="0.25">
      <c r="M39988" t="s">
        <v>226</v>
      </c>
    </row>
    <row r="39989" spans="13:13" x14ac:dyDescent="0.25">
      <c r="M39989" t="s">
        <v>227</v>
      </c>
    </row>
    <row r="39990" spans="13:13" x14ac:dyDescent="0.25">
      <c r="M39990" t="s">
        <v>228</v>
      </c>
    </row>
    <row r="39991" spans="13:13" x14ac:dyDescent="0.25">
      <c r="M39991" t="s">
        <v>229</v>
      </c>
    </row>
    <row r="39992" spans="13:13" x14ac:dyDescent="0.25">
      <c r="M39992" t="s">
        <v>230</v>
      </c>
    </row>
    <row r="39993" spans="13:13" x14ac:dyDescent="0.25">
      <c r="M39993" t="s">
        <v>231</v>
      </c>
    </row>
    <row r="39994" spans="13:13" x14ac:dyDescent="0.25">
      <c r="M39994" t="s">
        <v>232</v>
      </c>
    </row>
    <row r="39995" spans="13:13" x14ac:dyDescent="0.25">
      <c r="M39995" t="s">
        <v>233</v>
      </c>
    </row>
    <row r="39996" spans="13:13" x14ac:dyDescent="0.25">
      <c r="M39996" t="s">
        <v>234</v>
      </c>
    </row>
    <row r="39997" spans="13:13" x14ac:dyDescent="0.25">
      <c r="M39997" t="s">
        <v>235</v>
      </c>
    </row>
    <row r="39998" spans="13:13" x14ac:dyDescent="0.25">
      <c r="M39998" t="s">
        <v>236</v>
      </c>
    </row>
    <row r="39999" spans="13:13" x14ac:dyDescent="0.25">
      <c r="M39999" t="s">
        <v>237</v>
      </c>
    </row>
    <row r="40000" spans="13:13" x14ac:dyDescent="0.25">
      <c r="M40000" t="s">
        <v>238</v>
      </c>
    </row>
    <row r="40001" spans="13:13" x14ac:dyDescent="0.25">
      <c r="M40001" t="s">
        <v>239</v>
      </c>
    </row>
    <row r="40002" spans="13:13" x14ac:dyDescent="0.25">
      <c r="M40002" t="s">
        <v>240</v>
      </c>
    </row>
    <row r="40003" spans="13:13" x14ac:dyDescent="0.25">
      <c r="M40003" t="s">
        <v>241</v>
      </c>
    </row>
    <row r="40004" spans="13:13" x14ac:dyDescent="0.25">
      <c r="M40004" t="s">
        <v>242</v>
      </c>
    </row>
    <row r="40005" spans="13:13" x14ac:dyDescent="0.25">
      <c r="M40005" t="s">
        <v>243</v>
      </c>
    </row>
    <row r="40006" spans="13:13" x14ac:dyDescent="0.25">
      <c r="M40006" t="s">
        <v>244</v>
      </c>
    </row>
    <row r="40007" spans="13:13" x14ac:dyDescent="0.25">
      <c r="M40007" t="s">
        <v>245</v>
      </c>
    </row>
    <row r="40008" spans="13:13" x14ac:dyDescent="0.25">
      <c r="M40008" t="s">
        <v>246</v>
      </c>
    </row>
    <row r="40009" spans="13:13" x14ac:dyDescent="0.25">
      <c r="M40009" t="s">
        <v>247</v>
      </c>
    </row>
    <row r="40010" spans="13:13" x14ac:dyDescent="0.25">
      <c r="M40010" t="s">
        <v>248</v>
      </c>
    </row>
    <row r="40011" spans="13:13" x14ac:dyDescent="0.25">
      <c r="M40011" t="s">
        <v>249</v>
      </c>
    </row>
    <row r="40012" spans="13:13" x14ac:dyDescent="0.25">
      <c r="M40012" t="s">
        <v>250</v>
      </c>
    </row>
    <row r="40013" spans="13:13" x14ac:dyDescent="0.25">
      <c r="M40013" t="s">
        <v>251</v>
      </c>
    </row>
    <row r="40014" spans="13:13" x14ac:dyDescent="0.25">
      <c r="M40014" t="s">
        <v>252</v>
      </c>
    </row>
    <row r="40015" spans="13:13" x14ac:dyDescent="0.25">
      <c r="M40015" t="s">
        <v>253</v>
      </c>
    </row>
    <row r="40025" spans="13:13" x14ac:dyDescent="0.25">
      <c r="M40025" t="s">
        <v>254</v>
      </c>
    </row>
    <row r="40026" spans="13:13" x14ac:dyDescent="0.25">
      <c r="M40026" t="s">
        <v>83</v>
      </c>
    </row>
    <row r="40040" spans="13:13" x14ac:dyDescent="0.25">
      <c r="M40040" t="s">
        <v>255</v>
      </c>
    </row>
    <row r="40041" spans="13:13" x14ac:dyDescent="0.25">
      <c r="M40041" t="s">
        <v>256</v>
      </c>
    </row>
    <row r="40042" spans="13:13" x14ac:dyDescent="0.25">
      <c r="M40042" t="s">
        <v>257</v>
      </c>
    </row>
    <row r="40043" spans="13:13" x14ac:dyDescent="0.25">
      <c r="M40043" t="s">
        <v>258</v>
      </c>
    </row>
    <row r="40044" spans="13:13" x14ac:dyDescent="0.25">
      <c r="M40044" t="s">
        <v>259</v>
      </c>
    </row>
    <row r="40045" spans="13:13" x14ac:dyDescent="0.25">
      <c r="M40045" t="s">
        <v>260</v>
      </c>
    </row>
    <row r="40046" spans="13:13" x14ac:dyDescent="0.25">
      <c r="M40046" t="s">
        <v>261</v>
      </c>
    </row>
    <row r="40047" spans="13:13" x14ac:dyDescent="0.25">
      <c r="M40047" t="s">
        <v>262</v>
      </c>
    </row>
    <row r="40048" spans="13:13" x14ac:dyDescent="0.25">
      <c r="M40048" t="s">
        <v>263</v>
      </c>
    </row>
    <row r="40099" spans="13:13" x14ac:dyDescent="0.25">
      <c r="M40099" t="s">
        <v>264</v>
      </c>
    </row>
    <row r="40100" spans="13:13" x14ac:dyDescent="0.25">
      <c r="M40100" t="s">
        <v>265</v>
      </c>
    </row>
    <row r="40101" spans="13:13" x14ac:dyDescent="0.25">
      <c r="M40101" t="s">
        <v>266</v>
      </c>
    </row>
    <row r="40150" spans="13:13" x14ac:dyDescent="0.25">
      <c r="M40150" t="s">
        <v>267</v>
      </c>
    </row>
    <row r="40151" spans="13:13" x14ac:dyDescent="0.25">
      <c r="M40151" t="s">
        <v>268</v>
      </c>
    </row>
    <row r="40152" spans="13:13" x14ac:dyDescent="0.25">
      <c r="M40152" t="s">
        <v>269</v>
      </c>
    </row>
    <row r="40153" spans="13:13" x14ac:dyDescent="0.25">
      <c r="M40153" t="s">
        <v>270</v>
      </c>
    </row>
    <row r="40154" spans="13:13" x14ac:dyDescent="0.25">
      <c r="M40154" t="s">
        <v>271</v>
      </c>
    </row>
    <row r="40155" spans="13:13" x14ac:dyDescent="0.25">
      <c r="M40155" t="s">
        <v>272</v>
      </c>
    </row>
    <row r="40176" spans="13:13" x14ac:dyDescent="0.25">
      <c r="M40176" t="s">
        <v>273</v>
      </c>
    </row>
    <row r="40177" spans="13:13" x14ac:dyDescent="0.25">
      <c r="M40177" t="s">
        <v>274</v>
      </c>
    </row>
    <row r="40180" spans="13:13" x14ac:dyDescent="0.25">
      <c r="M40180" t="s">
        <v>275</v>
      </c>
    </row>
    <row r="40181" spans="13:13" x14ac:dyDescent="0.25">
      <c r="M40181" t="s">
        <v>276</v>
      </c>
    </row>
    <row r="40182" spans="13:13" x14ac:dyDescent="0.25">
      <c r="M40182" t="s">
        <v>277</v>
      </c>
    </row>
    <row r="40187" spans="13:13" x14ac:dyDescent="0.25">
      <c r="M40187" t="s">
        <v>278</v>
      </c>
    </row>
    <row r="40188" spans="13:13" x14ac:dyDescent="0.25">
      <c r="M40188" t="s">
        <v>279</v>
      </c>
    </row>
    <row r="40204" spans="13:13" x14ac:dyDescent="0.25">
      <c r="M40204" t="s">
        <v>203</v>
      </c>
    </row>
    <row r="40205" spans="13:13" x14ac:dyDescent="0.25">
      <c r="M40205" t="s">
        <v>204</v>
      </c>
    </row>
    <row r="40206" spans="13:13" x14ac:dyDescent="0.25">
      <c r="M40206" t="s">
        <v>205</v>
      </c>
    </row>
    <row r="40207" spans="13:13" x14ac:dyDescent="0.25">
      <c r="M40207" t="s">
        <v>206</v>
      </c>
    </row>
    <row r="40208" spans="13:13" x14ac:dyDescent="0.25">
      <c r="M40208" t="s">
        <v>207</v>
      </c>
    </row>
    <row r="40209" spans="13:13" x14ac:dyDescent="0.25">
      <c r="M40209" t="s">
        <v>208</v>
      </c>
    </row>
    <row r="40210" spans="13:13" x14ac:dyDescent="0.25">
      <c r="M40210" t="s">
        <v>209</v>
      </c>
    </row>
    <row r="40211" spans="13:13" x14ac:dyDescent="0.25">
      <c r="M40211" t="s">
        <v>210</v>
      </c>
    </row>
    <row r="40231" spans="13:13" x14ac:dyDescent="0.25">
      <c r="M40231" t="s">
        <v>211</v>
      </c>
    </row>
    <row r="40232" spans="13:13" x14ac:dyDescent="0.25">
      <c r="M40232" t="s">
        <v>212</v>
      </c>
    </row>
    <row r="40233" spans="13:13" x14ac:dyDescent="0.25">
      <c r="M40233" t="s">
        <v>213</v>
      </c>
    </row>
    <row r="40234" spans="13:13" x14ac:dyDescent="0.25">
      <c r="M40234" t="s">
        <v>214</v>
      </c>
    </row>
    <row r="40235" spans="13:13" x14ac:dyDescent="0.25">
      <c r="M40235" t="s">
        <v>215</v>
      </c>
    </row>
    <row r="40236" spans="13:13" x14ac:dyDescent="0.25">
      <c r="M40236" t="s">
        <v>216</v>
      </c>
    </row>
    <row r="40237" spans="13:13" x14ac:dyDescent="0.25">
      <c r="M40237" t="s">
        <v>217</v>
      </c>
    </row>
    <row r="40238" spans="13:13" x14ac:dyDescent="0.25">
      <c r="M40238" t="s">
        <v>218</v>
      </c>
    </row>
    <row r="40239" spans="13:13" x14ac:dyDescent="0.25">
      <c r="M40239" t="s">
        <v>219</v>
      </c>
    </row>
    <row r="40240" spans="13:13" x14ac:dyDescent="0.25">
      <c r="M40240" t="s">
        <v>220</v>
      </c>
    </row>
    <row r="40244" spans="13:13" x14ac:dyDescent="0.25">
      <c r="M40244" t="s">
        <v>221</v>
      </c>
    </row>
    <row r="40245" spans="13:13" x14ac:dyDescent="0.25">
      <c r="M40245" t="s">
        <v>222</v>
      </c>
    </row>
    <row r="40246" spans="13:13" x14ac:dyDescent="0.25">
      <c r="M40246" t="s">
        <v>223</v>
      </c>
    </row>
    <row r="40247" spans="13:13" x14ac:dyDescent="0.25">
      <c r="M40247" t="s">
        <v>224</v>
      </c>
    </row>
    <row r="40248" spans="13:13" x14ac:dyDescent="0.25">
      <c r="M40248" t="s">
        <v>225</v>
      </c>
    </row>
    <row r="40249" spans="13:13" x14ac:dyDescent="0.25">
      <c r="M40249" t="s">
        <v>226</v>
      </c>
    </row>
    <row r="40250" spans="13:13" x14ac:dyDescent="0.25">
      <c r="M40250" t="s">
        <v>227</v>
      </c>
    </row>
    <row r="40251" spans="13:13" x14ac:dyDescent="0.25">
      <c r="M40251" t="s">
        <v>228</v>
      </c>
    </row>
    <row r="40252" spans="13:13" x14ac:dyDescent="0.25">
      <c r="M40252" t="s">
        <v>229</v>
      </c>
    </row>
    <row r="40253" spans="13:13" x14ac:dyDescent="0.25">
      <c r="M40253" t="s">
        <v>230</v>
      </c>
    </row>
    <row r="40254" spans="13:13" x14ac:dyDescent="0.25">
      <c r="M40254" t="s">
        <v>231</v>
      </c>
    </row>
    <row r="40255" spans="13:13" x14ac:dyDescent="0.25">
      <c r="M40255" t="s">
        <v>232</v>
      </c>
    </row>
    <row r="40256" spans="13:13" x14ac:dyDescent="0.25">
      <c r="M40256" t="s">
        <v>233</v>
      </c>
    </row>
    <row r="40257" spans="13:13" x14ac:dyDescent="0.25">
      <c r="M40257" t="s">
        <v>234</v>
      </c>
    </row>
    <row r="40258" spans="13:13" x14ac:dyDescent="0.25">
      <c r="M40258" t="s">
        <v>235</v>
      </c>
    </row>
    <row r="40259" spans="13:13" x14ac:dyDescent="0.25">
      <c r="M40259" t="s">
        <v>236</v>
      </c>
    </row>
    <row r="40260" spans="13:13" x14ac:dyDescent="0.25">
      <c r="M40260" t="s">
        <v>237</v>
      </c>
    </row>
    <row r="40261" spans="13:13" x14ac:dyDescent="0.25">
      <c r="M40261" t="s">
        <v>238</v>
      </c>
    </row>
    <row r="40262" spans="13:13" x14ac:dyDescent="0.25">
      <c r="M40262" t="s">
        <v>239</v>
      </c>
    </row>
    <row r="40263" spans="13:13" x14ac:dyDescent="0.25">
      <c r="M40263" t="s">
        <v>240</v>
      </c>
    </row>
    <row r="40264" spans="13:13" x14ac:dyDescent="0.25">
      <c r="M40264" t="s">
        <v>241</v>
      </c>
    </row>
    <row r="40265" spans="13:13" x14ac:dyDescent="0.25">
      <c r="M40265" t="s">
        <v>242</v>
      </c>
    </row>
    <row r="40266" spans="13:13" x14ac:dyDescent="0.25">
      <c r="M40266" t="s">
        <v>243</v>
      </c>
    </row>
    <row r="40267" spans="13:13" x14ac:dyDescent="0.25">
      <c r="M40267" t="s">
        <v>244</v>
      </c>
    </row>
    <row r="40268" spans="13:13" x14ac:dyDescent="0.25">
      <c r="M40268" t="s">
        <v>245</v>
      </c>
    </row>
    <row r="40269" spans="13:13" x14ac:dyDescent="0.25">
      <c r="M40269" t="s">
        <v>246</v>
      </c>
    </row>
    <row r="40270" spans="13:13" x14ac:dyDescent="0.25">
      <c r="M40270" t="s">
        <v>247</v>
      </c>
    </row>
    <row r="40271" spans="13:13" x14ac:dyDescent="0.25">
      <c r="M40271" t="s">
        <v>248</v>
      </c>
    </row>
    <row r="40272" spans="13:13" x14ac:dyDescent="0.25">
      <c r="M40272" t="s">
        <v>249</v>
      </c>
    </row>
    <row r="40273" spans="13:13" x14ac:dyDescent="0.25">
      <c r="M40273" t="s">
        <v>250</v>
      </c>
    </row>
    <row r="40274" spans="13:13" x14ac:dyDescent="0.25">
      <c r="M40274" t="s">
        <v>251</v>
      </c>
    </row>
    <row r="40275" spans="13:13" x14ac:dyDescent="0.25">
      <c r="M40275" t="s">
        <v>252</v>
      </c>
    </row>
    <row r="40276" spans="13:13" x14ac:dyDescent="0.25">
      <c r="M40276" t="s">
        <v>253</v>
      </c>
    </row>
    <row r="40286" spans="13:13" x14ac:dyDescent="0.25">
      <c r="M40286" t="s">
        <v>254</v>
      </c>
    </row>
    <row r="40287" spans="13:13" x14ac:dyDescent="0.25">
      <c r="M40287" t="s">
        <v>83</v>
      </c>
    </row>
    <row r="40301" spans="13:13" x14ac:dyDescent="0.25">
      <c r="M40301" t="s">
        <v>255</v>
      </c>
    </row>
    <row r="40302" spans="13:13" x14ac:dyDescent="0.25">
      <c r="M40302" t="s">
        <v>256</v>
      </c>
    </row>
    <row r="40303" spans="13:13" x14ac:dyDescent="0.25">
      <c r="M40303" t="s">
        <v>257</v>
      </c>
    </row>
    <row r="40304" spans="13:13" x14ac:dyDescent="0.25">
      <c r="M40304" t="s">
        <v>258</v>
      </c>
    </row>
    <row r="40305" spans="13:13" x14ac:dyDescent="0.25">
      <c r="M40305" t="s">
        <v>259</v>
      </c>
    </row>
    <row r="40306" spans="13:13" x14ac:dyDescent="0.25">
      <c r="M40306" t="s">
        <v>260</v>
      </c>
    </row>
    <row r="40307" spans="13:13" x14ac:dyDescent="0.25">
      <c r="M40307" t="s">
        <v>261</v>
      </c>
    </row>
    <row r="40308" spans="13:13" x14ac:dyDescent="0.25">
      <c r="M40308" t="s">
        <v>262</v>
      </c>
    </row>
    <row r="40309" spans="13:13" x14ac:dyDescent="0.25">
      <c r="M40309" t="s">
        <v>263</v>
      </c>
    </row>
    <row r="40360" spans="13:13" x14ac:dyDescent="0.25">
      <c r="M40360" t="s">
        <v>264</v>
      </c>
    </row>
    <row r="40361" spans="13:13" x14ac:dyDescent="0.25">
      <c r="M40361" t="s">
        <v>265</v>
      </c>
    </row>
    <row r="40362" spans="13:13" x14ac:dyDescent="0.25">
      <c r="M40362" t="s">
        <v>266</v>
      </c>
    </row>
    <row r="40411" spans="13:13" x14ac:dyDescent="0.25">
      <c r="M40411" t="s">
        <v>267</v>
      </c>
    </row>
    <row r="40412" spans="13:13" x14ac:dyDescent="0.25">
      <c r="M40412" t="s">
        <v>268</v>
      </c>
    </row>
    <row r="40413" spans="13:13" x14ac:dyDescent="0.25">
      <c r="M40413" t="s">
        <v>269</v>
      </c>
    </row>
    <row r="40414" spans="13:13" x14ac:dyDescent="0.25">
      <c r="M40414" t="s">
        <v>270</v>
      </c>
    </row>
    <row r="40415" spans="13:13" x14ac:dyDescent="0.25">
      <c r="M40415" t="s">
        <v>271</v>
      </c>
    </row>
    <row r="40416" spans="13:13" x14ac:dyDescent="0.25">
      <c r="M40416" t="s">
        <v>272</v>
      </c>
    </row>
    <row r="40437" spans="13:13" x14ac:dyDescent="0.25">
      <c r="M40437" t="s">
        <v>273</v>
      </c>
    </row>
    <row r="40438" spans="13:13" x14ac:dyDescent="0.25">
      <c r="M40438" t="s">
        <v>274</v>
      </c>
    </row>
    <row r="40441" spans="13:13" x14ac:dyDescent="0.25">
      <c r="M40441" t="s">
        <v>275</v>
      </c>
    </row>
    <row r="40442" spans="13:13" x14ac:dyDescent="0.25">
      <c r="M40442" t="s">
        <v>276</v>
      </c>
    </row>
    <row r="40443" spans="13:13" x14ac:dyDescent="0.25">
      <c r="M40443" t="s">
        <v>277</v>
      </c>
    </row>
    <row r="40448" spans="13:13" x14ac:dyDescent="0.25">
      <c r="M40448" t="s">
        <v>278</v>
      </c>
    </row>
    <row r="40449" spans="13:13" x14ac:dyDescent="0.25">
      <c r="M40449" t="s">
        <v>279</v>
      </c>
    </row>
    <row r="40465" spans="13:13" x14ac:dyDescent="0.25">
      <c r="M40465" t="s">
        <v>203</v>
      </c>
    </row>
    <row r="40466" spans="13:13" x14ac:dyDescent="0.25">
      <c r="M40466" t="s">
        <v>204</v>
      </c>
    </row>
    <row r="40467" spans="13:13" x14ac:dyDescent="0.25">
      <c r="M40467" t="s">
        <v>205</v>
      </c>
    </row>
    <row r="40468" spans="13:13" x14ac:dyDescent="0.25">
      <c r="M40468" t="s">
        <v>206</v>
      </c>
    </row>
    <row r="40469" spans="13:13" x14ac:dyDescent="0.25">
      <c r="M40469" t="s">
        <v>207</v>
      </c>
    </row>
    <row r="40470" spans="13:13" x14ac:dyDescent="0.25">
      <c r="M40470" t="s">
        <v>208</v>
      </c>
    </row>
    <row r="40471" spans="13:13" x14ac:dyDescent="0.25">
      <c r="M40471" t="s">
        <v>209</v>
      </c>
    </row>
    <row r="40472" spans="13:13" x14ac:dyDescent="0.25">
      <c r="M40472" t="s">
        <v>210</v>
      </c>
    </row>
    <row r="40492" spans="13:13" x14ac:dyDescent="0.25">
      <c r="M40492" t="s">
        <v>211</v>
      </c>
    </row>
    <row r="40493" spans="13:13" x14ac:dyDescent="0.25">
      <c r="M40493" t="s">
        <v>212</v>
      </c>
    </row>
    <row r="40494" spans="13:13" x14ac:dyDescent="0.25">
      <c r="M40494" t="s">
        <v>213</v>
      </c>
    </row>
    <row r="40495" spans="13:13" x14ac:dyDescent="0.25">
      <c r="M40495" t="s">
        <v>214</v>
      </c>
    </row>
    <row r="40496" spans="13:13" x14ac:dyDescent="0.25">
      <c r="M40496" t="s">
        <v>215</v>
      </c>
    </row>
    <row r="40497" spans="13:13" x14ac:dyDescent="0.25">
      <c r="M40497" t="s">
        <v>216</v>
      </c>
    </row>
    <row r="40498" spans="13:13" x14ac:dyDescent="0.25">
      <c r="M40498" t="s">
        <v>217</v>
      </c>
    </row>
    <row r="40499" spans="13:13" x14ac:dyDescent="0.25">
      <c r="M40499" t="s">
        <v>218</v>
      </c>
    </row>
    <row r="40500" spans="13:13" x14ac:dyDescent="0.25">
      <c r="M40500" t="s">
        <v>219</v>
      </c>
    </row>
    <row r="40501" spans="13:13" x14ac:dyDescent="0.25">
      <c r="M40501" t="s">
        <v>220</v>
      </c>
    </row>
    <row r="40505" spans="13:13" x14ac:dyDescent="0.25">
      <c r="M40505" t="s">
        <v>221</v>
      </c>
    </row>
    <row r="40506" spans="13:13" x14ac:dyDescent="0.25">
      <c r="M40506" t="s">
        <v>222</v>
      </c>
    </row>
    <row r="40507" spans="13:13" x14ac:dyDescent="0.25">
      <c r="M40507" t="s">
        <v>223</v>
      </c>
    </row>
    <row r="40508" spans="13:13" x14ac:dyDescent="0.25">
      <c r="M40508" t="s">
        <v>224</v>
      </c>
    </row>
    <row r="40509" spans="13:13" x14ac:dyDescent="0.25">
      <c r="M40509" t="s">
        <v>225</v>
      </c>
    </row>
    <row r="40510" spans="13:13" x14ac:dyDescent="0.25">
      <c r="M40510" t="s">
        <v>226</v>
      </c>
    </row>
    <row r="40511" spans="13:13" x14ac:dyDescent="0.25">
      <c r="M40511" t="s">
        <v>227</v>
      </c>
    </row>
    <row r="40512" spans="13:13" x14ac:dyDescent="0.25">
      <c r="M40512" t="s">
        <v>228</v>
      </c>
    </row>
    <row r="40513" spans="13:13" x14ac:dyDescent="0.25">
      <c r="M40513" t="s">
        <v>229</v>
      </c>
    </row>
    <row r="40514" spans="13:13" x14ac:dyDescent="0.25">
      <c r="M40514" t="s">
        <v>230</v>
      </c>
    </row>
    <row r="40515" spans="13:13" x14ac:dyDescent="0.25">
      <c r="M40515" t="s">
        <v>231</v>
      </c>
    </row>
    <row r="40516" spans="13:13" x14ac:dyDescent="0.25">
      <c r="M40516" t="s">
        <v>232</v>
      </c>
    </row>
    <row r="40517" spans="13:13" x14ac:dyDescent="0.25">
      <c r="M40517" t="s">
        <v>233</v>
      </c>
    </row>
    <row r="40518" spans="13:13" x14ac:dyDescent="0.25">
      <c r="M40518" t="s">
        <v>234</v>
      </c>
    </row>
    <row r="40519" spans="13:13" x14ac:dyDescent="0.25">
      <c r="M40519" t="s">
        <v>235</v>
      </c>
    </row>
    <row r="40520" spans="13:13" x14ac:dyDescent="0.25">
      <c r="M40520" t="s">
        <v>236</v>
      </c>
    </row>
    <row r="40521" spans="13:13" x14ac:dyDescent="0.25">
      <c r="M40521" t="s">
        <v>237</v>
      </c>
    </row>
    <row r="40522" spans="13:13" x14ac:dyDescent="0.25">
      <c r="M40522" t="s">
        <v>238</v>
      </c>
    </row>
    <row r="40523" spans="13:13" x14ac:dyDescent="0.25">
      <c r="M40523" t="s">
        <v>239</v>
      </c>
    </row>
    <row r="40524" spans="13:13" x14ac:dyDescent="0.25">
      <c r="M40524" t="s">
        <v>240</v>
      </c>
    </row>
    <row r="40525" spans="13:13" x14ac:dyDescent="0.25">
      <c r="M40525" t="s">
        <v>241</v>
      </c>
    </row>
    <row r="40526" spans="13:13" x14ac:dyDescent="0.25">
      <c r="M40526" t="s">
        <v>242</v>
      </c>
    </row>
    <row r="40527" spans="13:13" x14ac:dyDescent="0.25">
      <c r="M40527" t="s">
        <v>243</v>
      </c>
    </row>
    <row r="40528" spans="13:13" x14ac:dyDescent="0.25">
      <c r="M40528" t="s">
        <v>244</v>
      </c>
    </row>
    <row r="40529" spans="13:13" x14ac:dyDescent="0.25">
      <c r="M40529" t="s">
        <v>245</v>
      </c>
    </row>
    <row r="40530" spans="13:13" x14ac:dyDescent="0.25">
      <c r="M40530" t="s">
        <v>246</v>
      </c>
    </row>
    <row r="40531" spans="13:13" x14ac:dyDescent="0.25">
      <c r="M40531" t="s">
        <v>247</v>
      </c>
    </row>
    <row r="40532" spans="13:13" x14ac:dyDescent="0.25">
      <c r="M40532" t="s">
        <v>248</v>
      </c>
    </row>
    <row r="40533" spans="13:13" x14ac:dyDescent="0.25">
      <c r="M40533" t="s">
        <v>249</v>
      </c>
    </row>
    <row r="40534" spans="13:13" x14ac:dyDescent="0.25">
      <c r="M40534" t="s">
        <v>250</v>
      </c>
    </row>
    <row r="40535" spans="13:13" x14ac:dyDescent="0.25">
      <c r="M40535" t="s">
        <v>251</v>
      </c>
    </row>
    <row r="40536" spans="13:13" x14ac:dyDescent="0.25">
      <c r="M40536" t="s">
        <v>252</v>
      </c>
    </row>
    <row r="40537" spans="13:13" x14ac:dyDescent="0.25">
      <c r="M40537" t="s">
        <v>253</v>
      </c>
    </row>
    <row r="40547" spans="13:13" x14ac:dyDescent="0.25">
      <c r="M40547" t="s">
        <v>254</v>
      </c>
    </row>
    <row r="40548" spans="13:13" x14ac:dyDescent="0.25">
      <c r="M40548" t="s">
        <v>83</v>
      </c>
    </row>
    <row r="40562" spans="13:13" x14ac:dyDescent="0.25">
      <c r="M40562" t="s">
        <v>255</v>
      </c>
    </row>
    <row r="40563" spans="13:13" x14ac:dyDescent="0.25">
      <c r="M40563" t="s">
        <v>256</v>
      </c>
    </row>
    <row r="40564" spans="13:13" x14ac:dyDescent="0.25">
      <c r="M40564" t="s">
        <v>257</v>
      </c>
    </row>
    <row r="40565" spans="13:13" x14ac:dyDescent="0.25">
      <c r="M40565" t="s">
        <v>258</v>
      </c>
    </row>
    <row r="40566" spans="13:13" x14ac:dyDescent="0.25">
      <c r="M40566" t="s">
        <v>259</v>
      </c>
    </row>
    <row r="40567" spans="13:13" x14ac:dyDescent="0.25">
      <c r="M40567" t="s">
        <v>260</v>
      </c>
    </row>
    <row r="40568" spans="13:13" x14ac:dyDescent="0.25">
      <c r="M40568" t="s">
        <v>261</v>
      </c>
    </row>
    <row r="40569" spans="13:13" x14ac:dyDescent="0.25">
      <c r="M40569" t="s">
        <v>262</v>
      </c>
    </row>
    <row r="40570" spans="13:13" x14ac:dyDescent="0.25">
      <c r="M40570" t="s">
        <v>263</v>
      </c>
    </row>
    <row r="40621" spans="13:13" x14ac:dyDescent="0.25">
      <c r="M40621" t="s">
        <v>264</v>
      </c>
    </row>
    <row r="40622" spans="13:13" x14ac:dyDescent="0.25">
      <c r="M40622" t="s">
        <v>265</v>
      </c>
    </row>
    <row r="40623" spans="13:13" x14ac:dyDescent="0.25">
      <c r="M40623" t="s">
        <v>266</v>
      </c>
    </row>
    <row r="40672" spans="13:13" x14ac:dyDescent="0.25">
      <c r="M40672" t="s">
        <v>267</v>
      </c>
    </row>
    <row r="40673" spans="13:13" x14ac:dyDescent="0.25">
      <c r="M40673" t="s">
        <v>268</v>
      </c>
    </row>
    <row r="40674" spans="13:13" x14ac:dyDescent="0.25">
      <c r="M40674" t="s">
        <v>269</v>
      </c>
    </row>
    <row r="40675" spans="13:13" x14ac:dyDescent="0.25">
      <c r="M40675" t="s">
        <v>270</v>
      </c>
    </row>
    <row r="40676" spans="13:13" x14ac:dyDescent="0.25">
      <c r="M40676" t="s">
        <v>271</v>
      </c>
    </row>
    <row r="40677" spans="13:13" x14ac:dyDescent="0.25">
      <c r="M40677" t="s">
        <v>272</v>
      </c>
    </row>
    <row r="40698" spans="13:13" x14ac:dyDescent="0.25">
      <c r="M40698" t="s">
        <v>273</v>
      </c>
    </row>
    <row r="40699" spans="13:13" x14ac:dyDescent="0.25">
      <c r="M40699" t="s">
        <v>274</v>
      </c>
    </row>
    <row r="40702" spans="13:13" x14ac:dyDescent="0.25">
      <c r="M40702" t="s">
        <v>275</v>
      </c>
    </row>
    <row r="40703" spans="13:13" x14ac:dyDescent="0.25">
      <c r="M40703" t="s">
        <v>276</v>
      </c>
    </row>
    <row r="40704" spans="13:13" x14ac:dyDescent="0.25">
      <c r="M40704" t="s">
        <v>277</v>
      </c>
    </row>
    <row r="40709" spans="13:13" x14ac:dyDescent="0.25">
      <c r="M40709" t="s">
        <v>278</v>
      </c>
    </row>
    <row r="40710" spans="13:13" x14ac:dyDescent="0.25">
      <c r="M40710" t="s">
        <v>279</v>
      </c>
    </row>
    <row r="40726" spans="13:13" x14ac:dyDescent="0.25">
      <c r="M40726" t="s">
        <v>203</v>
      </c>
    </row>
    <row r="40727" spans="13:13" x14ac:dyDescent="0.25">
      <c r="M40727" t="s">
        <v>204</v>
      </c>
    </row>
    <row r="40728" spans="13:13" x14ac:dyDescent="0.25">
      <c r="M40728" t="s">
        <v>205</v>
      </c>
    </row>
    <row r="40729" spans="13:13" x14ac:dyDescent="0.25">
      <c r="M40729" t="s">
        <v>206</v>
      </c>
    </row>
    <row r="40730" spans="13:13" x14ac:dyDescent="0.25">
      <c r="M40730" t="s">
        <v>207</v>
      </c>
    </row>
    <row r="40731" spans="13:13" x14ac:dyDescent="0.25">
      <c r="M40731" t="s">
        <v>208</v>
      </c>
    </row>
    <row r="40732" spans="13:13" x14ac:dyDescent="0.25">
      <c r="M40732" t="s">
        <v>209</v>
      </c>
    </row>
    <row r="40733" spans="13:13" x14ac:dyDescent="0.25">
      <c r="M40733" t="s">
        <v>210</v>
      </c>
    </row>
    <row r="40753" spans="13:13" x14ac:dyDescent="0.25">
      <c r="M40753" t="s">
        <v>211</v>
      </c>
    </row>
    <row r="40754" spans="13:13" x14ac:dyDescent="0.25">
      <c r="M40754" t="s">
        <v>212</v>
      </c>
    </row>
    <row r="40755" spans="13:13" x14ac:dyDescent="0.25">
      <c r="M40755" t="s">
        <v>213</v>
      </c>
    </row>
    <row r="40756" spans="13:13" x14ac:dyDescent="0.25">
      <c r="M40756" t="s">
        <v>214</v>
      </c>
    </row>
    <row r="40757" spans="13:13" x14ac:dyDescent="0.25">
      <c r="M40757" t="s">
        <v>215</v>
      </c>
    </row>
    <row r="40758" spans="13:13" x14ac:dyDescent="0.25">
      <c r="M40758" t="s">
        <v>216</v>
      </c>
    </row>
    <row r="40759" spans="13:13" x14ac:dyDescent="0.25">
      <c r="M40759" t="s">
        <v>217</v>
      </c>
    </row>
    <row r="40760" spans="13:13" x14ac:dyDescent="0.25">
      <c r="M40760" t="s">
        <v>218</v>
      </c>
    </row>
    <row r="40761" spans="13:13" x14ac:dyDescent="0.25">
      <c r="M40761" t="s">
        <v>219</v>
      </c>
    </row>
    <row r="40762" spans="13:13" x14ac:dyDescent="0.25">
      <c r="M40762" t="s">
        <v>220</v>
      </c>
    </row>
    <row r="40766" spans="13:13" x14ac:dyDescent="0.25">
      <c r="M40766" t="s">
        <v>221</v>
      </c>
    </row>
    <row r="40767" spans="13:13" x14ac:dyDescent="0.25">
      <c r="M40767" t="s">
        <v>222</v>
      </c>
    </row>
    <row r="40768" spans="13:13" x14ac:dyDescent="0.25">
      <c r="M40768" t="s">
        <v>223</v>
      </c>
    </row>
    <row r="40769" spans="13:13" x14ac:dyDescent="0.25">
      <c r="M40769" t="s">
        <v>224</v>
      </c>
    </row>
    <row r="40770" spans="13:13" x14ac:dyDescent="0.25">
      <c r="M40770" t="s">
        <v>225</v>
      </c>
    </row>
    <row r="40771" spans="13:13" x14ac:dyDescent="0.25">
      <c r="M40771" t="s">
        <v>226</v>
      </c>
    </row>
    <row r="40772" spans="13:13" x14ac:dyDescent="0.25">
      <c r="M40772" t="s">
        <v>227</v>
      </c>
    </row>
    <row r="40773" spans="13:13" x14ac:dyDescent="0.25">
      <c r="M40773" t="s">
        <v>228</v>
      </c>
    </row>
    <row r="40774" spans="13:13" x14ac:dyDescent="0.25">
      <c r="M40774" t="s">
        <v>229</v>
      </c>
    </row>
    <row r="40775" spans="13:13" x14ac:dyDescent="0.25">
      <c r="M40775" t="s">
        <v>230</v>
      </c>
    </row>
    <row r="40776" spans="13:13" x14ac:dyDescent="0.25">
      <c r="M40776" t="s">
        <v>231</v>
      </c>
    </row>
    <row r="40777" spans="13:13" x14ac:dyDescent="0.25">
      <c r="M40777" t="s">
        <v>232</v>
      </c>
    </row>
    <row r="40778" spans="13:13" x14ac:dyDescent="0.25">
      <c r="M40778" t="s">
        <v>233</v>
      </c>
    </row>
    <row r="40779" spans="13:13" x14ac:dyDescent="0.25">
      <c r="M40779" t="s">
        <v>234</v>
      </c>
    </row>
    <row r="40780" spans="13:13" x14ac:dyDescent="0.25">
      <c r="M40780" t="s">
        <v>235</v>
      </c>
    </row>
    <row r="40781" spans="13:13" x14ac:dyDescent="0.25">
      <c r="M40781" t="s">
        <v>236</v>
      </c>
    </row>
    <row r="40782" spans="13:13" x14ac:dyDescent="0.25">
      <c r="M40782" t="s">
        <v>237</v>
      </c>
    </row>
    <row r="40783" spans="13:13" x14ac:dyDescent="0.25">
      <c r="M40783" t="s">
        <v>238</v>
      </c>
    </row>
    <row r="40784" spans="13:13" x14ac:dyDescent="0.25">
      <c r="M40784" t="s">
        <v>239</v>
      </c>
    </row>
    <row r="40785" spans="13:13" x14ac:dyDescent="0.25">
      <c r="M40785" t="s">
        <v>240</v>
      </c>
    </row>
    <row r="40786" spans="13:13" x14ac:dyDescent="0.25">
      <c r="M40786" t="s">
        <v>241</v>
      </c>
    </row>
    <row r="40787" spans="13:13" x14ac:dyDescent="0.25">
      <c r="M40787" t="s">
        <v>242</v>
      </c>
    </row>
    <row r="40788" spans="13:13" x14ac:dyDescent="0.25">
      <c r="M40788" t="s">
        <v>243</v>
      </c>
    </row>
    <row r="40789" spans="13:13" x14ac:dyDescent="0.25">
      <c r="M40789" t="s">
        <v>244</v>
      </c>
    </row>
    <row r="40790" spans="13:13" x14ac:dyDescent="0.25">
      <c r="M40790" t="s">
        <v>245</v>
      </c>
    </row>
    <row r="40791" spans="13:13" x14ac:dyDescent="0.25">
      <c r="M40791" t="s">
        <v>246</v>
      </c>
    </row>
    <row r="40792" spans="13:13" x14ac:dyDescent="0.25">
      <c r="M40792" t="s">
        <v>247</v>
      </c>
    </row>
    <row r="40793" spans="13:13" x14ac:dyDescent="0.25">
      <c r="M40793" t="s">
        <v>248</v>
      </c>
    </row>
    <row r="40794" spans="13:13" x14ac:dyDescent="0.25">
      <c r="M40794" t="s">
        <v>249</v>
      </c>
    </row>
    <row r="40795" spans="13:13" x14ac:dyDescent="0.25">
      <c r="M40795" t="s">
        <v>250</v>
      </c>
    </row>
    <row r="40796" spans="13:13" x14ac:dyDescent="0.25">
      <c r="M40796" t="s">
        <v>251</v>
      </c>
    </row>
    <row r="40797" spans="13:13" x14ac:dyDescent="0.25">
      <c r="M40797" t="s">
        <v>252</v>
      </c>
    </row>
    <row r="40798" spans="13:13" x14ac:dyDescent="0.25">
      <c r="M40798" t="s">
        <v>253</v>
      </c>
    </row>
    <row r="40808" spans="13:13" x14ac:dyDescent="0.25">
      <c r="M40808" t="s">
        <v>254</v>
      </c>
    </row>
    <row r="40809" spans="13:13" x14ac:dyDescent="0.25">
      <c r="M40809" t="s">
        <v>83</v>
      </c>
    </row>
    <row r="40823" spans="13:13" x14ac:dyDescent="0.25">
      <c r="M40823" t="s">
        <v>255</v>
      </c>
    </row>
    <row r="40824" spans="13:13" x14ac:dyDescent="0.25">
      <c r="M40824" t="s">
        <v>256</v>
      </c>
    </row>
    <row r="40825" spans="13:13" x14ac:dyDescent="0.25">
      <c r="M40825" t="s">
        <v>257</v>
      </c>
    </row>
    <row r="40826" spans="13:13" x14ac:dyDescent="0.25">
      <c r="M40826" t="s">
        <v>258</v>
      </c>
    </row>
    <row r="40827" spans="13:13" x14ac:dyDescent="0.25">
      <c r="M40827" t="s">
        <v>259</v>
      </c>
    </row>
    <row r="40828" spans="13:13" x14ac:dyDescent="0.25">
      <c r="M40828" t="s">
        <v>260</v>
      </c>
    </row>
    <row r="40829" spans="13:13" x14ac:dyDescent="0.25">
      <c r="M40829" t="s">
        <v>261</v>
      </c>
    </row>
    <row r="40830" spans="13:13" x14ac:dyDescent="0.25">
      <c r="M40830" t="s">
        <v>262</v>
      </c>
    </row>
    <row r="40831" spans="13:13" x14ac:dyDescent="0.25">
      <c r="M40831" t="s">
        <v>263</v>
      </c>
    </row>
    <row r="40882" spans="13:13" x14ac:dyDescent="0.25">
      <c r="M40882" t="s">
        <v>264</v>
      </c>
    </row>
    <row r="40883" spans="13:13" x14ac:dyDescent="0.25">
      <c r="M40883" t="s">
        <v>265</v>
      </c>
    </row>
    <row r="40884" spans="13:13" x14ac:dyDescent="0.25">
      <c r="M40884" t="s">
        <v>266</v>
      </c>
    </row>
    <row r="40933" spans="13:13" x14ac:dyDescent="0.25">
      <c r="M40933" t="s">
        <v>267</v>
      </c>
    </row>
    <row r="40934" spans="13:13" x14ac:dyDescent="0.25">
      <c r="M40934" t="s">
        <v>268</v>
      </c>
    </row>
    <row r="40935" spans="13:13" x14ac:dyDescent="0.25">
      <c r="M40935" t="s">
        <v>269</v>
      </c>
    </row>
    <row r="40936" spans="13:13" x14ac:dyDescent="0.25">
      <c r="M40936" t="s">
        <v>270</v>
      </c>
    </row>
    <row r="40937" spans="13:13" x14ac:dyDescent="0.25">
      <c r="M40937" t="s">
        <v>271</v>
      </c>
    </row>
    <row r="40938" spans="13:13" x14ac:dyDescent="0.25">
      <c r="M40938" t="s">
        <v>272</v>
      </c>
    </row>
    <row r="40959" spans="13:13" x14ac:dyDescent="0.25">
      <c r="M40959" t="s">
        <v>273</v>
      </c>
    </row>
    <row r="40960" spans="13:13" x14ac:dyDescent="0.25">
      <c r="M40960" t="s">
        <v>274</v>
      </c>
    </row>
    <row r="40963" spans="13:13" x14ac:dyDescent="0.25">
      <c r="M40963" t="s">
        <v>275</v>
      </c>
    </row>
    <row r="40964" spans="13:13" x14ac:dyDescent="0.25">
      <c r="M40964" t="s">
        <v>276</v>
      </c>
    </row>
    <row r="40965" spans="13:13" x14ac:dyDescent="0.25">
      <c r="M40965" t="s">
        <v>277</v>
      </c>
    </row>
    <row r="40970" spans="13:13" x14ac:dyDescent="0.25">
      <c r="M40970" t="s">
        <v>278</v>
      </c>
    </row>
    <row r="40971" spans="13:13" x14ac:dyDescent="0.25">
      <c r="M40971" t="s">
        <v>279</v>
      </c>
    </row>
    <row r="40987" spans="13:13" x14ac:dyDescent="0.25">
      <c r="M40987" t="s">
        <v>203</v>
      </c>
    </row>
    <row r="40988" spans="13:13" x14ac:dyDescent="0.25">
      <c r="M40988" t="s">
        <v>204</v>
      </c>
    </row>
    <row r="40989" spans="13:13" x14ac:dyDescent="0.25">
      <c r="M40989" t="s">
        <v>205</v>
      </c>
    </row>
    <row r="40990" spans="13:13" x14ac:dyDescent="0.25">
      <c r="M40990" t="s">
        <v>206</v>
      </c>
    </row>
    <row r="40991" spans="13:13" x14ac:dyDescent="0.25">
      <c r="M40991" t="s">
        <v>207</v>
      </c>
    </row>
    <row r="40992" spans="13:13" x14ac:dyDescent="0.25">
      <c r="M40992" t="s">
        <v>208</v>
      </c>
    </row>
    <row r="40993" spans="13:13" x14ac:dyDescent="0.25">
      <c r="M40993" t="s">
        <v>209</v>
      </c>
    </row>
    <row r="40994" spans="13:13" x14ac:dyDescent="0.25">
      <c r="M40994" t="s">
        <v>210</v>
      </c>
    </row>
    <row r="41014" spans="13:13" x14ac:dyDescent="0.25">
      <c r="M41014" t="s">
        <v>211</v>
      </c>
    </row>
    <row r="41015" spans="13:13" x14ac:dyDescent="0.25">
      <c r="M41015" t="s">
        <v>212</v>
      </c>
    </row>
    <row r="41016" spans="13:13" x14ac:dyDescent="0.25">
      <c r="M41016" t="s">
        <v>213</v>
      </c>
    </row>
    <row r="41017" spans="13:13" x14ac:dyDescent="0.25">
      <c r="M41017" t="s">
        <v>214</v>
      </c>
    </row>
    <row r="41018" spans="13:13" x14ac:dyDescent="0.25">
      <c r="M41018" t="s">
        <v>215</v>
      </c>
    </row>
    <row r="41019" spans="13:13" x14ac:dyDescent="0.25">
      <c r="M41019" t="s">
        <v>216</v>
      </c>
    </row>
    <row r="41020" spans="13:13" x14ac:dyDescent="0.25">
      <c r="M41020" t="s">
        <v>217</v>
      </c>
    </row>
    <row r="41021" spans="13:13" x14ac:dyDescent="0.25">
      <c r="M41021" t="s">
        <v>218</v>
      </c>
    </row>
    <row r="41022" spans="13:13" x14ac:dyDescent="0.25">
      <c r="M41022" t="s">
        <v>219</v>
      </c>
    </row>
    <row r="41023" spans="13:13" x14ac:dyDescent="0.25">
      <c r="M41023" t="s">
        <v>220</v>
      </c>
    </row>
    <row r="41027" spans="13:13" x14ac:dyDescent="0.25">
      <c r="M41027" t="s">
        <v>221</v>
      </c>
    </row>
    <row r="41028" spans="13:13" x14ac:dyDescent="0.25">
      <c r="M41028" t="s">
        <v>222</v>
      </c>
    </row>
    <row r="41029" spans="13:13" x14ac:dyDescent="0.25">
      <c r="M41029" t="s">
        <v>223</v>
      </c>
    </row>
    <row r="41030" spans="13:13" x14ac:dyDescent="0.25">
      <c r="M41030" t="s">
        <v>224</v>
      </c>
    </row>
    <row r="41031" spans="13:13" x14ac:dyDescent="0.25">
      <c r="M41031" t="s">
        <v>225</v>
      </c>
    </row>
    <row r="41032" spans="13:13" x14ac:dyDescent="0.25">
      <c r="M41032" t="s">
        <v>226</v>
      </c>
    </row>
    <row r="41033" spans="13:13" x14ac:dyDescent="0.25">
      <c r="M41033" t="s">
        <v>227</v>
      </c>
    </row>
    <row r="41034" spans="13:13" x14ac:dyDescent="0.25">
      <c r="M41034" t="s">
        <v>228</v>
      </c>
    </row>
    <row r="41035" spans="13:13" x14ac:dyDescent="0.25">
      <c r="M41035" t="s">
        <v>229</v>
      </c>
    </row>
    <row r="41036" spans="13:13" x14ac:dyDescent="0.25">
      <c r="M41036" t="s">
        <v>230</v>
      </c>
    </row>
    <row r="41037" spans="13:13" x14ac:dyDescent="0.25">
      <c r="M41037" t="s">
        <v>231</v>
      </c>
    </row>
    <row r="41038" spans="13:13" x14ac:dyDescent="0.25">
      <c r="M41038" t="s">
        <v>232</v>
      </c>
    </row>
    <row r="41039" spans="13:13" x14ac:dyDescent="0.25">
      <c r="M41039" t="s">
        <v>233</v>
      </c>
    </row>
    <row r="41040" spans="13:13" x14ac:dyDescent="0.25">
      <c r="M41040" t="s">
        <v>234</v>
      </c>
    </row>
    <row r="41041" spans="13:13" x14ac:dyDescent="0.25">
      <c r="M41041" t="s">
        <v>235</v>
      </c>
    </row>
    <row r="41042" spans="13:13" x14ac:dyDescent="0.25">
      <c r="M41042" t="s">
        <v>236</v>
      </c>
    </row>
    <row r="41043" spans="13:13" x14ac:dyDescent="0.25">
      <c r="M41043" t="s">
        <v>237</v>
      </c>
    </row>
    <row r="41044" spans="13:13" x14ac:dyDescent="0.25">
      <c r="M41044" t="s">
        <v>238</v>
      </c>
    </row>
    <row r="41045" spans="13:13" x14ac:dyDescent="0.25">
      <c r="M41045" t="s">
        <v>239</v>
      </c>
    </row>
    <row r="41046" spans="13:13" x14ac:dyDescent="0.25">
      <c r="M41046" t="s">
        <v>240</v>
      </c>
    </row>
    <row r="41047" spans="13:13" x14ac:dyDescent="0.25">
      <c r="M41047" t="s">
        <v>241</v>
      </c>
    </row>
    <row r="41048" spans="13:13" x14ac:dyDescent="0.25">
      <c r="M41048" t="s">
        <v>242</v>
      </c>
    </row>
    <row r="41049" spans="13:13" x14ac:dyDescent="0.25">
      <c r="M41049" t="s">
        <v>243</v>
      </c>
    </row>
    <row r="41050" spans="13:13" x14ac:dyDescent="0.25">
      <c r="M41050" t="s">
        <v>244</v>
      </c>
    </row>
    <row r="41051" spans="13:13" x14ac:dyDescent="0.25">
      <c r="M41051" t="s">
        <v>245</v>
      </c>
    </row>
    <row r="41052" spans="13:13" x14ac:dyDescent="0.25">
      <c r="M41052" t="s">
        <v>246</v>
      </c>
    </row>
    <row r="41053" spans="13:13" x14ac:dyDescent="0.25">
      <c r="M41053" t="s">
        <v>247</v>
      </c>
    </row>
    <row r="41054" spans="13:13" x14ac:dyDescent="0.25">
      <c r="M41054" t="s">
        <v>248</v>
      </c>
    </row>
    <row r="41055" spans="13:13" x14ac:dyDescent="0.25">
      <c r="M41055" t="s">
        <v>249</v>
      </c>
    </row>
    <row r="41056" spans="13:13" x14ac:dyDescent="0.25">
      <c r="M41056" t="s">
        <v>250</v>
      </c>
    </row>
    <row r="41057" spans="13:13" x14ac:dyDescent="0.25">
      <c r="M41057" t="s">
        <v>251</v>
      </c>
    </row>
    <row r="41058" spans="13:13" x14ac:dyDescent="0.25">
      <c r="M41058" t="s">
        <v>252</v>
      </c>
    </row>
    <row r="41059" spans="13:13" x14ac:dyDescent="0.25">
      <c r="M41059" t="s">
        <v>253</v>
      </c>
    </row>
    <row r="41069" spans="13:13" x14ac:dyDescent="0.25">
      <c r="M41069" t="s">
        <v>254</v>
      </c>
    </row>
    <row r="41070" spans="13:13" x14ac:dyDescent="0.25">
      <c r="M41070" t="s">
        <v>83</v>
      </c>
    </row>
    <row r="41084" spans="13:13" x14ac:dyDescent="0.25">
      <c r="M41084" t="s">
        <v>255</v>
      </c>
    </row>
    <row r="41085" spans="13:13" x14ac:dyDescent="0.25">
      <c r="M41085" t="s">
        <v>256</v>
      </c>
    </row>
    <row r="41086" spans="13:13" x14ac:dyDescent="0.25">
      <c r="M41086" t="s">
        <v>257</v>
      </c>
    </row>
    <row r="41087" spans="13:13" x14ac:dyDescent="0.25">
      <c r="M41087" t="s">
        <v>258</v>
      </c>
    </row>
    <row r="41088" spans="13:13" x14ac:dyDescent="0.25">
      <c r="M41088" t="s">
        <v>259</v>
      </c>
    </row>
    <row r="41089" spans="13:13" x14ac:dyDescent="0.25">
      <c r="M41089" t="s">
        <v>260</v>
      </c>
    </row>
    <row r="41090" spans="13:13" x14ac:dyDescent="0.25">
      <c r="M41090" t="s">
        <v>261</v>
      </c>
    </row>
    <row r="41091" spans="13:13" x14ac:dyDescent="0.25">
      <c r="M41091" t="s">
        <v>262</v>
      </c>
    </row>
    <row r="41092" spans="13:13" x14ac:dyDescent="0.25">
      <c r="M41092" t="s">
        <v>263</v>
      </c>
    </row>
    <row r="41143" spans="13:13" x14ac:dyDescent="0.25">
      <c r="M41143" t="s">
        <v>264</v>
      </c>
    </row>
    <row r="41144" spans="13:13" x14ac:dyDescent="0.25">
      <c r="M41144" t="s">
        <v>265</v>
      </c>
    </row>
    <row r="41145" spans="13:13" x14ac:dyDescent="0.25">
      <c r="M41145" t="s">
        <v>266</v>
      </c>
    </row>
    <row r="41194" spans="13:13" x14ac:dyDescent="0.25">
      <c r="M41194" t="s">
        <v>267</v>
      </c>
    </row>
    <row r="41195" spans="13:13" x14ac:dyDescent="0.25">
      <c r="M41195" t="s">
        <v>268</v>
      </c>
    </row>
    <row r="41196" spans="13:13" x14ac:dyDescent="0.25">
      <c r="M41196" t="s">
        <v>269</v>
      </c>
    </row>
    <row r="41197" spans="13:13" x14ac:dyDescent="0.25">
      <c r="M41197" t="s">
        <v>270</v>
      </c>
    </row>
    <row r="41198" spans="13:13" x14ac:dyDescent="0.25">
      <c r="M41198" t="s">
        <v>271</v>
      </c>
    </row>
    <row r="41199" spans="13:13" x14ac:dyDescent="0.25">
      <c r="M41199" t="s">
        <v>272</v>
      </c>
    </row>
    <row r="41220" spans="13:13" x14ac:dyDescent="0.25">
      <c r="M41220" t="s">
        <v>273</v>
      </c>
    </row>
    <row r="41221" spans="13:13" x14ac:dyDescent="0.25">
      <c r="M41221" t="s">
        <v>274</v>
      </c>
    </row>
    <row r="41224" spans="13:13" x14ac:dyDescent="0.25">
      <c r="M41224" t="s">
        <v>275</v>
      </c>
    </row>
    <row r="41225" spans="13:13" x14ac:dyDescent="0.25">
      <c r="M41225" t="s">
        <v>276</v>
      </c>
    </row>
    <row r="41226" spans="13:13" x14ac:dyDescent="0.25">
      <c r="M41226" t="s">
        <v>277</v>
      </c>
    </row>
    <row r="41231" spans="13:13" x14ac:dyDescent="0.25">
      <c r="M41231" t="s">
        <v>278</v>
      </c>
    </row>
    <row r="41232" spans="13:13" x14ac:dyDescent="0.25">
      <c r="M41232" t="s">
        <v>279</v>
      </c>
    </row>
    <row r="41248" spans="13:13" x14ac:dyDescent="0.25">
      <c r="M41248" t="s">
        <v>203</v>
      </c>
    </row>
    <row r="41249" spans="13:13" x14ac:dyDescent="0.25">
      <c r="M41249" t="s">
        <v>204</v>
      </c>
    </row>
    <row r="41250" spans="13:13" x14ac:dyDescent="0.25">
      <c r="M41250" t="s">
        <v>205</v>
      </c>
    </row>
    <row r="41251" spans="13:13" x14ac:dyDescent="0.25">
      <c r="M41251" t="s">
        <v>206</v>
      </c>
    </row>
    <row r="41252" spans="13:13" x14ac:dyDescent="0.25">
      <c r="M41252" t="s">
        <v>207</v>
      </c>
    </row>
    <row r="41253" spans="13:13" x14ac:dyDescent="0.25">
      <c r="M41253" t="s">
        <v>208</v>
      </c>
    </row>
    <row r="41254" spans="13:13" x14ac:dyDescent="0.25">
      <c r="M41254" t="s">
        <v>209</v>
      </c>
    </row>
    <row r="41255" spans="13:13" x14ac:dyDescent="0.25">
      <c r="M41255" t="s">
        <v>210</v>
      </c>
    </row>
    <row r="41275" spans="13:13" x14ac:dyDescent="0.25">
      <c r="M41275" t="s">
        <v>211</v>
      </c>
    </row>
    <row r="41276" spans="13:13" x14ac:dyDescent="0.25">
      <c r="M41276" t="s">
        <v>212</v>
      </c>
    </row>
    <row r="41277" spans="13:13" x14ac:dyDescent="0.25">
      <c r="M41277" t="s">
        <v>213</v>
      </c>
    </row>
    <row r="41278" spans="13:13" x14ac:dyDescent="0.25">
      <c r="M41278" t="s">
        <v>214</v>
      </c>
    </row>
    <row r="41279" spans="13:13" x14ac:dyDescent="0.25">
      <c r="M41279" t="s">
        <v>215</v>
      </c>
    </row>
    <row r="41280" spans="13:13" x14ac:dyDescent="0.25">
      <c r="M41280" t="s">
        <v>216</v>
      </c>
    </row>
    <row r="41281" spans="13:13" x14ac:dyDescent="0.25">
      <c r="M41281" t="s">
        <v>217</v>
      </c>
    </row>
    <row r="41282" spans="13:13" x14ac:dyDescent="0.25">
      <c r="M41282" t="s">
        <v>218</v>
      </c>
    </row>
    <row r="41283" spans="13:13" x14ac:dyDescent="0.25">
      <c r="M41283" t="s">
        <v>219</v>
      </c>
    </row>
    <row r="41284" spans="13:13" x14ac:dyDescent="0.25">
      <c r="M41284" t="s">
        <v>220</v>
      </c>
    </row>
    <row r="41288" spans="13:13" x14ac:dyDescent="0.25">
      <c r="M41288" t="s">
        <v>221</v>
      </c>
    </row>
    <row r="41289" spans="13:13" x14ac:dyDescent="0.25">
      <c r="M41289" t="s">
        <v>222</v>
      </c>
    </row>
    <row r="41290" spans="13:13" x14ac:dyDescent="0.25">
      <c r="M41290" t="s">
        <v>223</v>
      </c>
    </row>
    <row r="41291" spans="13:13" x14ac:dyDescent="0.25">
      <c r="M41291" t="s">
        <v>224</v>
      </c>
    </row>
    <row r="41292" spans="13:13" x14ac:dyDescent="0.25">
      <c r="M41292" t="s">
        <v>225</v>
      </c>
    </row>
    <row r="41293" spans="13:13" x14ac:dyDescent="0.25">
      <c r="M41293" t="s">
        <v>226</v>
      </c>
    </row>
    <row r="41294" spans="13:13" x14ac:dyDescent="0.25">
      <c r="M41294" t="s">
        <v>227</v>
      </c>
    </row>
    <row r="41295" spans="13:13" x14ac:dyDescent="0.25">
      <c r="M41295" t="s">
        <v>228</v>
      </c>
    </row>
    <row r="41296" spans="13:13" x14ac:dyDescent="0.25">
      <c r="M41296" t="s">
        <v>229</v>
      </c>
    </row>
    <row r="41297" spans="13:13" x14ac:dyDescent="0.25">
      <c r="M41297" t="s">
        <v>230</v>
      </c>
    </row>
    <row r="41298" spans="13:13" x14ac:dyDescent="0.25">
      <c r="M41298" t="s">
        <v>231</v>
      </c>
    </row>
    <row r="41299" spans="13:13" x14ac:dyDescent="0.25">
      <c r="M41299" t="s">
        <v>232</v>
      </c>
    </row>
    <row r="41300" spans="13:13" x14ac:dyDescent="0.25">
      <c r="M41300" t="s">
        <v>233</v>
      </c>
    </row>
    <row r="41301" spans="13:13" x14ac:dyDescent="0.25">
      <c r="M41301" t="s">
        <v>234</v>
      </c>
    </row>
    <row r="41302" spans="13:13" x14ac:dyDescent="0.25">
      <c r="M41302" t="s">
        <v>235</v>
      </c>
    </row>
    <row r="41303" spans="13:13" x14ac:dyDescent="0.25">
      <c r="M41303" t="s">
        <v>236</v>
      </c>
    </row>
    <row r="41304" spans="13:13" x14ac:dyDescent="0.25">
      <c r="M41304" t="s">
        <v>237</v>
      </c>
    </row>
    <row r="41305" spans="13:13" x14ac:dyDescent="0.25">
      <c r="M41305" t="s">
        <v>238</v>
      </c>
    </row>
    <row r="41306" spans="13:13" x14ac:dyDescent="0.25">
      <c r="M41306" t="s">
        <v>239</v>
      </c>
    </row>
    <row r="41307" spans="13:13" x14ac:dyDescent="0.25">
      <c r="M41307" t="s">
        <v>240</v>
      </c>
    </row>
    <row r="41308" spans="13:13" x14ac:dyDescent="0.25">
      <c r="M41308" t="s">
        <v>241</v>
      </c>
    </row>
    <row r="41309" spans="13:13" x14ac:dyDescent="0.25">
      <c r="M41309" t="s">
        <v>242</v>
      </c>
    </row>
    <row r="41310" spans="13:13" x14ac:dyDescent="0.25">
      <c r="M41310" t="s">
        <v>243</v>
      </c>
    </row>
    <row r="41311" spans="13:13" x14ac:dyDescent="0.25">
      <c r="M41311" t="s">
        <v>244</v>
      </c>
    </row>
    <row r="41312" spans="13:13" x14ac:dyDescent="0.25">
      <c r="M41312" t="s">
        <v>245</v>
      </c>
    </row>
    <row r="41313" spans="13:13" x14ac:dyDescent="0.25">
      <c r="M41313" t="s">
        <v>246</v>
      </c>
    </row>
    <row r="41314" spans="13:13" x14ac:dyDescent="0.25">
      <c r="M41314" t="s">
        <v>247</v>
      </c>
    </row>
    <row r="41315" spans="13:13" x14ac:dyDescent="0.25">
      <c r="M41315" t="s">
        <v>248</v>
      </c>
    </row>
    <row r="41316" spans="13:13" x14ac:dyDescent="0.25">
      <c r="M41316" t="s">
        <v>249</v>
      </c>
    </row>
    <row r="41317" spans="13:13" x14ac:dyDescent="0.25">
      <c r="M41317" t="s">
        <v>250</v>
      </c>
    </row>
    <row r="41318" spans="13:13" x14ac:dyDescent="0.25">
      <c r="M41318" t="s">
        <v>251</v>
      </c>
    </row>
    <row r="41319" spans="13:13" x14ac:dyDescent="0.25">
      <c r="M41319" t="s">
        <v>252</v>
      </c>
    </row>
    <row r="41320" spans="13:13" x14ac:dyDescent="0.25">
      <c r="M41320" t="s">
        <v>253</v>
      </c>
    </row>
    <row r="41330" spans="13:13" x14ac:dyDescent="0.25">
      <c r="M41330" t="s">
        <v>254</v>
      </c>
    </row>
    <row r="41331" spans="13:13" x14ac:dyDescent="0.25">
      <c r="M41331" t="s">
        <v>83</v>
      </c>
    </row>
    <row r="41345" spans="13:13" x14ac:dyDescent="0.25">
      <c r="M41345" t="s">
        <v>255</v>
      </c>
    </row>
    <row r="41346" spans="13:13" x14ac:dyDescent="0.25">
      <c r="M41346" t="s">
        <v>256</v>
      </c>
    </row>
    <row r="41347" spans="13:13" x14ac:dyDescent="0.25">
      <c r="M41347" t="s">
        <v>257</v>
      </c>
    </row>
    <row r="41348" spans="13:13" x14ac:dyDescent="0.25">
      <c r="M41348" t="s">
        <v>258</v>
      </c>
    </row>
    <row r="41349" spans="13:13" x14ac:dyDescent="0.25">
      <c r="M41349" t="s">
        <v>259</v>
      </c>
    </row>
    <row r="41350" spans="13:13" x14ac:dyDescent="0.25">
      <c r="M41350" t="s">
        <v>260</v>
      </c>
    </row>
    <row r="41351" spans="13:13" x14ac:dyDescent="0.25">
      <c r="M41351" t="s">
        <v>261</v>
      </c>
    </row>
    <row r="41352" spans="13:13" x14ac:dyDescent="0.25">
      <c r="M41352" t="s">
        <v>262</v>
      </c>
    </row>
    <row r="41353" spans="13:13" x14ac:dyDescent="0.25">
      <c r="M41353" t="s">
        <v>263</v>
      </c>
    </row>
    <row r="41404" spans="13:13" x14ac:dyDescent="0.25">
      <c r="M41404" t="s">
        <v>264</v>
      </c>
    </row>
    <row r="41405" spans="13:13" x14ac:dyDescent="0.25">
      <c r="M41405" t="s">
        <v>265</v>
      </c>
    </row>
    <row r="41406" spans="13:13" x14ac:dyDescent="0.25">
      <c r="M41406" t="s">
        <v>266</v>
      </c>
    </row>
    <row r="41455" spans="13:13" x14ac:dyDescent="0.25">
      <c r="M41455" t="s">
        <v>267</v>
      </c>
    </row>
    <row r="41456" spans="13:13" x14ac:dyDescent="0.25">
      <c r="M41456" t="s">
        <v>268</v>
      </c>
    </row>
    <row r="41457" spans="13:13" x14ac:dyDescent="0.25">
      <c r="M41457" t="s">
        <v>269</v>
      </c>
    </row>
    <row r="41458" spans="13:13" x14ac:dyDescent="0.25">
      <c r="M41458" t="s">
        <v>270</v>
      </c>
    </row>
    <row r="41459" spans="13:13" x14ac:dyDescent="0.25">
      <c r="M41459" t="s">
        <v>271</v>
      </c>
    </row>
    <row r="41460" spans="13:13" x14ac:dyDescent="0.25">
      <c r="M41460" t="s">
        <v>272</v>
      </c>
    </row>
    <row r="41481" spans="13:13" x14ac:dyDescent="0.25">
      <c r="M41481" t="s">
        <v>273</v>
      </c>
    </row>
    <row r="41482" spans="13:13" x14ac:dyDescent="0.25">
      <c r="M41482" t="s">
        <v>274</v>
      </c>
    </row>
    <row r="41485" spans="13:13" x14ac:dyDescent="0.25">
      <c r="M41485" t="s">
        <v>275</v>
      </c>
    </row>
    <row r="41486" spans="13:13" x14ac:dyDescent="0.25">
      <c r="M41486" t="s">
        <v>276</v>
      </c>
    </row>
    <row r="41487" spans="13:13" x14ac:dyDescent="0.25">
      <c r="M41487" t="s">
        <v>277</v>
      </c>
    </row>
    <row r="41492" spans="13:13" x14ac:dyDescent="0.25">
      <c r="M41492" t="s">
        <v>278</v>
      </c>
    </row>
    <row r="41493" spans="13:13" x14ac:dyDescent="0.25">
      <c r="M41493" t="s">
        <v>279</v>
      </c>
    </row>
    <row r="41509" spans="13:13" x14ac:dyDescent="0.25">
      <c r="M41509" t="s">
        <v>203</v>
      </c>
    </row>
    <row r="41510" spans="13:13" x14ac:dyDescent="0.25">
      <c r="M41510" t="s">
        <v>204</v>
      </c>
    </row>
    <row r="41511" spans="13:13" x14ac:dyDescent="0.25">
      <c r="M41511" t="s">
        <v>205</v>
      </c>
    </row>
    <row r="41512" spans="13:13" x14ac:dyDescent="0.25">
      <c r="M41512" t="s">
        <v>206</v>
      </c>
    </row>
    <row r="41513" spans="13:13" x14ac:dyDescent="0.25">
      <c r="M41513" t="s">
        <v>207</v>
      </c>
    </row>
    <row r="41514" spans="13:13" x14ac:dyDescent="0.25">
      <c r="M41514" t="s">
        <v>208</v>
      </c>
    </row>
    <row r="41515" spans="13:13" x14ac:dyDescent="0.25">
      <c r="M41515" t="s">
        <v>209</v>
      </c>
    </row>
    <row r="41516" spans="13:13" x14ac:dyDescent="0.25">
      <c r="M41516" t="s">
        <v>210</v>
      </c>
    </row>
    <row r="41536" spans="13:13" x14ac:dyDescent="0.25">
      <c r="M41536" t="s">
        <v>211</v>
      </c>
    </row>
    <row r="41537" spans="13:13" x14ac:dyDescent="0.25">
      <c r="M41537" t="s">
        <v>212</v>
      </c>
    </row>
    <row r="41538" spans="13:13" x14ac:dyDescent="0.25">
      <c r="M41538" t="s">
        <v>213</v>
      </c>
    </row>
    <row r="41539" spans="13:13" x14ac:dyDescent="0.25">
      <c r="M41539" t="s">
        <v>214</v>
      </c>
    </row>
    <row r="41540" spans="13:13" x14ac:dyDescent="0.25">
      <c r="M41540" t="s">
        <v>215</v>
      </c>
    </row>
    <row r="41541" spans="13:13" x14ac:dyDescent="0.25">
      <c r="M41541" t="s">
        <v>216</v>
      </c>
    </row>
    <row r="41542" spans="13:13" x14ac:dyDescent="0.25">
      <c r="M41542" t="s">
        <v>217</v>
      </c>
    </row>
    <row r="41543" spans="13:13" x14ac:dyDescent="0.25">
      <c r="M41543" t="s">
        <v>218</v>
      </c>
    </row>
    <row r="41544" spans="13:13" x14ac:dyDescent="0.25">
      <c r="M41544" t="s">
        <v>219</v>
      </c>
    </row>
    <row r="41545" spans="13:13" x14ac:dyDescent="0.25">
      <c r="M41545" t="s">
        <v>220</v>
      </c>
    </row>
    <row r="41549" spans="13:13" x14ac:dyDescent="0.25">
      <c r="M41549" t="s">
        <v>221</v>
      </c>
    </row>
    <row r="41550" spans="13:13" x14ac:dyDescent="0.25">
      <c r="M41550" t="s">
        <v>222</v>
      </c>
    </row>
    <row r="41551" spans="13:13" x14ac:dyDescent="0.25">
      <c r="M41551" t="s">
        <v>223</v>
      </c>
    </row>
    <row r="41552" spans="13:13" x14ac:dyDescent="0.25">
      <c r="M41552" t="s">
        <v>224</v>
      </c>
    </row>
    <row r="41553" spans="13:13" x14ac:dyDescent="0.25">
      <c r="M41553" t="s">
        <v>225</v>
      </c>
    </row>
    <row r="41554" spans="13:13" x14ac:dyDescent="0.25">
      <c r="M41554" t="s">
        <v>226</v>
      </c>
    </row>
    <row r="41555" spans="13:13" x14ac:dyDescent="0.25">
      <c r="M41555" t="s">
        <v>227</v>
      </c>
    </row>
    <row r="41556" spans="13:13" x14ac:dyDescent="0.25">
      <c r="M41556" t="s">
        <v>228</v>
      </c>
    </row>
    <row r="41557" spans="13:13" x14ac:dyDescent="0.25">
      <c r="M41557" t="s">
        <v>229</v>
      </c>
    </row>
    <row r="41558" spans="13:13" x14ac:dyDescent="0.25">
      <c r="M41558" t="s">
        <v>230</v>
      </c>
    </row>
    <row r="41559" spans="13:13" x14ac:dyDescent="0.25">
      <c r="M41559" t="s">
        <v>231</v>
      </c>
    </row>
    <row r="41560" spans="13:13" x14ac:dyDescent="0.25">
      <c r="M41560" t="s">
        <v>232</v>
      </c>
    </row>
    <row r="41561" spans="13:13" x14ac:dyDescent="0.25">
      <c r="M41561" t="s">
        <v>233</v>
      </c>
    </row>
    <row r="41562" spans="13:13" x14ac:dyDescent="0.25">
      <c r="M41562" t="s">
        <v>234</v>
      </c>
    </row>
    <row r="41563" spans="13:13" x14ac:dyDescent="0.25">
      <c r="M41563" t="s">
        <v>235</v>
      </c>
    </row>
    <row r="41564" spans="13:13" x14ac:dyDescent="0.25">
      <c r="M41564" t="s">
        <v>236</v>
      </c>
    </row>
    <row r="41565" spans="13:13" x14ac:dyDescent="0.25">
      <c r="M41565" t="s">
        <v>237</v>
      </c>
    </row>
    <row r="41566" spans="13:13" x14ac:dyDescent="0.25">
      <c r="M41566" t="s">
        <v>238</v>
      </c>
    </row>
    <row r="41567" spans="13:13" x14ac:dyDescent="0.25">
      <c r="M41567" t="s">
        <v>239</v>
      </c>
    </row>
    <row r="41568" spans="13:13" x14ac:dyDescent="0.25">
      <c r="M41568" t="s">
        <v>240</v>
      </c>
    </row>
    <row r="41569" spans="13:13" x14ac:dyDescent="0.25">
      <c r="M41569" t="s">
        <v>241</v>
      </c>
    </row>
    <row r="41570" spans="13:13" x14ac:dyDescent="0.25">
      <c r="M41570" t="s">
        <v>242</v>
      </c>
    </row>
    <row r="41571" spans="13:13" x14ac:dyDescent="0.25">
      <c r="M41571" t="s">
        <v>243</v>
      </c>
    </row>
    <row r="41572" spans="13:13" x14ac:dyDescent="0.25">
      <c r="M41572" t="s">
        <v>244</v>
      </c>
    </row>
    <row r="41573" spans="13:13" x14ac:dyDescent="0.25">
      <c r="M41573" t="s">
        <v>245</v>
      </c>
    </row>
    <row r="41574" spans="13:13" x14ac:dyDescent="0.25">
      <c r="M41574" t="s">
        <v>246</v>
      </c>
    </row>
    <row r="41575" spans="13:13" x14ac:dyDescent="0.25">
      <c r="M41575" t="s">
        <v>247</v>
      </c>
    </row>
    <row r="41576" spans="13:13" x14ac:dyDescent="0.25">
      <c r="M41576" t="s">
        <v>248</v>
      </c>
    </row>
    <row r="41577" spans="13:13" x14ac:dyDescent="0.25">
      <c r="M41577" t="s">
        <v>249</v>
      </c>
    </row>
    <row r="41578" spans="13:13" x14ac:dyDescent="0.25">
      <c r="M41578" t="s">
        <v>250</v>
      </c>
    </row>
    <row r="41579" spans="13:13" x14ac:dyDescent="0.25">
      <c r="M41579" t="s">
        <v>251</v>
      </c>
    </row>
    <row r="41580" spans="13:13" x14ac:dyDescent="0.25">
      <c r="M41580" t="s">
        <v>252</v>
      </c>
    </row>
    <row r="41581" spans="13:13" x14ac:dyDescent="0.25">
      <c r="M41581" t="s">
        <v>253</v>
      </c>
    </row>
    <row r="41591" spans="13:13" x14ac:dyDescent="0.25">
      <c r="M41591" t="s">
        <v>254</v>
      </c>
    </row>
    <row r="41592" spans="13:13" x14ac:dyDescent="0.25">
      <c r="M41592" t="s">
        <v>83</v>
      </c>
    </row>
    <row r="41606" spans="13:13" x14ac:dyDescent="0.25">
      <c r="M41606" t="s">
        <v>255</v>
      </c>
    </row>
    <row r="41607" spans="13:13" x14ac:dyDescent="0.25">
      <c r="M41607" t="s">
        <v>256</v>
      </c>
    </row>
    <row r="41608" spans="13:13" x14ac:dyDescent="0.25">
      <c r="M41608" t="s">
        <v>257</v>
      </c>
    </row>
    <row r="41609" spans="13:13" x14ac:dyDescent="0.25">
      <c r="M41609" t="s">
        <v>258</v>
      </c>
    </row>
    <row r="41610" spans="13:13" x14ac:dyDescent="0.25">
      <c r="M41610" t="s">
        <v>259</v>
      </c>
    </row>
    <row r="41611" spans="13:13" x14ac:dyDescent="0.25">
      <c r="M41611" t="s">
        <v>260</v>
      </c>
    </row>
    <row r="41612" spans="13:13" x14ac:dyDescent="0.25">
      <c r="M41612" t="s">
        <v>261</v>
      </c>
    </row>
    <row r="41613" spans="13:13" x14ac:dyDescent="0.25">
      <c r="M41613" t="s">
        <v>262</v>
      </c>
    </row>
    <row r="41614" spans="13:13" x14ac:dyDescent="0.25">
      <c r="M41614" t="s">
        <v>263</v>
      </c>
    </row>
    <row r="41665" spans="13:13" x14ac:dyDescent="0.25">
      <c r="M41665" t="s">
        <v>264</v>
      </c>
    </row>
    <row r="41666" spans="13:13" x14ac:dyDescent="0.25">
      <c r="M41666" t="s">
        <v>265</v>
      </c>
    </row>
    <row r="41667" spans="13:13" x14ac:dyDescent="0.25">
      <c r="M41667" t="s">
        <v>266</v>
      </c>
    </row>
    <row r="41716" spans="13:13" x14ac:dyDescent="0.25">
      <c r="M41716" t="s">
        <v>267</v>
      </c>
    </row>
    <row r="41717" spans="13:13" x14ac:dyDescent="0.25">
      <c r="M41717" t="s">
        <v>268</v>
      </c>
    </row>
    <row r="41718" spans="13:13" x14ac:dyDescent="0.25">
      <c r="M41718" t="s">
        <v>269</v>
      </c>
    </row>
    <row r="41719" spans="13:13" x14ac:dyDescent="0.25">
      <c r="M41719" t="s">
        <v>270</v>
      </c>
    </row>
    <row r="41720" spans="13:13" x14ac:dyDescent="0.25">
      <c r="M41720" t="s">
        <v>271</v>
      </c>
    </row>
    <row r="41721" spans="13:13" x14ac:dyDescent="0.25">
      <c r="M41721" t="s">
        <v>272</v>
      </c>
    </row>
    <row r="41742" spans="13:13" x14ac:dyDescent="0.25">
      <c r="M41742" t="s">
        <v>273</v>
      </c>
    </row>
    <row r="41743" spans="13:13" x14ac:dyDescent="0.25">
      <c r="M41743" t="s">
        <v>274</v>
      </c>
    </row>
    <row r="41746" spans="13:13" x14ac:dyDescent="0.25">
      <c r="M41746" t="s">
        <v>275</v>
      </c>
    </row>
    <row r="41747" spans="13:13" x14ac:dyDescent="0.25">
      <c r="M41747" t="s">
        <v>276</v>
      </c>
    </row>
    <row r="41748" spans="13:13" x14ac:dyDescent="0.25">
      <c r="M41748" t="s">
        <v>277</v>
      </c>
    </row>
    <row r="41753" spans="13:13" x14ac:dyDescent="0.25">
      <c r="M41753" t="s">
        <v>278</v>
      </c>
    </row>
    <row r="41754" spans="13:13" x14ac:dyDescent="0.25">
      <c r="M41754" t="s">
        <v>279</v>
      </c>
    </row>
    <row r="41770" spans="13:13" x14ac:dyDescent="0.25">
      <c r="M41770" t="s">
        <v>203</v>
      </c>
    </row>
    <row r="41771" spans="13:13" x14ac:dyDescent="0.25">
      <c r="M41771" t="s">
        <v>204</v>
      </c>
    </row>
    <row r="41772" spans="13:13" x14ac:dyDescent="0.25">
      <c r="M41772" t="s">
        <v>205</v>
      </c>
    </row>
    <row r="41773" spans="13:13" x14ac:dyDescent="0.25">
      <c r="M41773" t="s">
        <v>206</v>
      </c>
    </row>
    <row r="41774" spans="13:13" x14ac:dyDescent="0.25">
      <c r="M41774" t="s">
        <v>207</v>
      </c>
    </row>
    <row r="41775" spans="13:13" x14ac:dyDescent="0.25">
      <c r="M41775" t="s">
        <v>208</v>
      </c>
    </row>
    <row r="41776" spans="13:13" x14ac:dyDescent="0.25">
      <c r="M41776" t="s">
        <v>209</v>
      </c>
    </row>
    <row r="41777" spans="13:13" x14ac:dyDescent="0.25">
      <c r="M41777" t="s">
        <v>210</v>
      </c>
    </row>
    <row r="41797" spans="13:13" x14ac:dyDescent="0.25">
      <c r="M41797" t="s">
        <v>211</v>
      </c>
    </row>
    <row r="41798" spans="13:13" x14ac:dyDescent="0.25">
      <c r="M41798" t="s">
        <v>212</v>
      </c>
    </row>
    <row r="41799" spans="13:13" x14ac:dyDescent="0.25">
      <c r="M41799" t="s">
        <v>213</v>
      </c>
    </row>
    <row r="41800" spans="13:13" x14ac:dyDescent="0.25">
      <c r="M41800" t="s">
        <v>214</v>
      </c>
    </row>
    <row r="41801" spans="13:13" x14ac:dyDescent="0.25">
      <c r="M41801" t="s">
        <v>215</v>
      </c>
    </row>
    <row r="41802" spans="13:13" x14ac:dyDescent="0.25">
      <c r="M41802" t="s">
        <v>216</v>
      </c>
    </row>
    <row r="41803" spans="13:13" x14ac:dyDescent="0.25">
      <c r="M41803" t="s">
        <v>217</v>
      </c>
    </row>
    <row r="41804" spans="13:13" x14ac:dyDescent="0.25">
      <c r="M41804" t="s">
        <v>218</v>
      </c>
    </row>
    <row r="41805" spans="13:13" x14ac:dyDescent="0.25">
      <c r="M41805" t="s">
        <v>219</v>
      </c>
    </row>
    <row r="41806" spans="13:13" x14ac:dyDescent="0.25">
      <c r="M41806" t="s">
        <v>220</v>
      </c>
    </row>
    <row r="41810" spans="13:13" x14ac:dyDescent="0.25">
      <c r="M41810" t="s">
        <v>221</v>
      </c>
    </row>
    <row r="41811" spans="13:13" x14ac:dyDescent="0.25">
      <c r="M41811" t="s">
        <v>222</v>
      </c>
    </row>
    <row r="41812" spans="13:13" x14ac:dyDescent="0.25">
      <c r="M41812" t="s">
        <v>223</v>
      </c>
    </row>
    <row r="41813" spans="13:13" x14ac:dyDescent="0.25">
      <c r="M41813" t="s">
        <v>224</v>
      </c>
    </row>
    <row r="41814" spans="13:13" x14ac:dyDescent="0.25">
      <c r="M41814" t="s">
        <v>225</v>
      </c>
    </row>
    <row r="41815" spans="13:13" x14ac:dyDescent="0.25">
      <c r="M41815" t="s">
        <v>226</v>
      </c>
    </row>
    <row r="41816" spans="13:13" x14ac:dyDescent="0.25">
      <c r="M41816" t="s">
        <v>227</v>
      </c>
    </row>
    <row r="41817" spans="13:13" x14ac:dyDescent="0.25">
      <c r="M41817" t="s">
        <v>228</v>
      </c>
    </row>
    <row r="41818" spans="13:13" x14ac:dyDescent="0.25">
      <c r="M41818" t="s">
        <v>229</v>
      </c>
    </row>
    <row r="41819" spans="13:13" x14ac:dyDescent="0.25">
      <c r="M41819" t="s">
        <v>230</v>
      </c>
    </row>
    <row r="41820" spans="13:13" x14ac:dyDescent="0.25">
      <c r="M41820" t="s">
        <v>231</v>
      </c>
    </row>
    <row r="41821" spans="13:13" x14ac:dyDescent="0.25">
      <c r="M41821" t="s">
        <v>232</v>
      </c>
    </row>
    <row r="41822" spans="13:13" x14ac:dyDescent="0.25">
      <c r="M41822" t="s">
        <v>233</v>
      </c>
    </row>
    <row r="41823" spans="13:13" x14ac:dyDescent="0.25">
      <c r="M41823" t="s">
        <v>234</v>
      </c>
    </row>
    <row r="41824" spans="13:13" x14ac:dyDescent="0.25">
      <c r="M41824" t="s">
        <v>235</v>
      </c>
    </row>
    <row r="41825" spans="13:13" x14ac:dyDescent="0.25">
      <c r="M41825" t="s">
        <v>236</v>
      </c>
    </row>
    <row r="41826" spans="13:13" x14ac:dyDescent="0.25">
      <c r="M41826" t="s">
        <v>237</v>
      </c>
    </row>
    <row r="41827" spans="13:13" x14ac:dyDescent="0.25">
      <c r="M41827" t="s">
        <v>238</v>
      </c>
    </row>
    <row r="41828" spans="13:13" x14ac:dyDescent="0.25">
      <c r="M41828" t="s">
        <v>239</v>
      </c>
    </row>
    <row r="41829" spans="13:13" x14ac:dyDescent="0.25">
      <c r="M41829" t="s">
        <v>240</v>
      </c>
    </row>
    <row r="41830" spans="13:13" x14ac:dyDescent="0.25">
      <c r="M41830" t="s">
        <v>241</v>
      </c>
    </row>
    <row r="41831" spans="13:13" x14ac:dyDescent="0.25">
      <c r="M41831" t="s">
        <v>242</v>
      </c>
    </row>
    <row r="41832" spans="13:13" x14ac:dyDescent="0.25">
      <c r="M41832" t="s">
        <v>243</v>
      </c>
    </row>
    <row r="41833" spans="13:13" x14ac:dyDescent="0.25">
      <c r="M41833" t="s">
        <v>244</v>
      </c>
    </row>
    <row r="41834" spans="13:13" x14ac:dyDescent="0.25">
      <c r="M41834" t="s">
        <v>245</v>
      </c>
    </row>
    <row r="41835" spans="13:13" x14ac:dyDescent="0.25">
      <c r="M41835" t="s">
        <v>246</v>
      </c>
    </row>
    <row r="41836" spans="13:13" x14ac:dyDescent="0.25">
      <c r="M41836" t="s">
        <v>247</v>
      </c>
    </row>
    <row r="41837" spans="13:13" x14ac:dyDescent="0.25">
      <c r="M41837" t="s">
        <v>248</v>
      </c>
    </row>
    <row r="41838" spans="13:13" x14ac:dyDescent="0.25">
      <c r="M41838" t="s">
        <v>249</v>
      </c>
    </row>
    <row r="41839" spans="13:13" x14ac:dyDescent="0.25">
      <c r="M41839" t="s">
        <v>250</v>
      </c>
    </row>
    <row r="41840" spans="13:13" x14ac:dyDescent="0.25">
      <c r="M41840" t="s">
        <v>251</v>
      </c>
    </row>
    <row r="41841" spans="13:13" x14ac:dyDescent="0.25">
      <c r="M41841" t="s">
        <v>252</v>
      </c>
    </row>
    <row r="41842" spans="13:13" x14ac:dyDescent="0.25">
      <c r="M41842" t="s">
        <v>253</v>
      </c>
    </row>
    <row r="41852" spans="13:13" x14ac:dyDescent="0.25">
      <c r="M41852" t="s">
        <v>254</v>
      </c>
    </row>
    <row r="41853" spans="13:13" x14ac:dyDescent="0.25">
      <c r="M41853" t="s">
        <v>83</v>
      </c>
    </row>
    <row r="41867" spans="13:13" x14ac:dyDescent="0.25">
      <c r="M41867" t="s">
        <v>255</v>
      </c>
    </row>
    <row r="41868" spans="13:13" x14ac:dyDescent="0.25">
      <c r="M41868" t="s">
        <v>256</v>
      </c>
    </row>
    <row r="41869" spans="13:13" x14ac:dyDescent="0.25">
      <c r="M41869" t="s">
        <v>257</v>
      </c>
    </row>
    <row r="41870" spans="13:13" x14ac:dyDescent="0.25">
      <c r="M41870" t="s">
        <v>258</v>
      </c>
    </row>
    <row r="41871" spans="13:13" x14ac:dyDescent="0.25">
      <c r="M41871" t="s">
        <v>259</v>
      </c>
    </row>
    <row r="41872" spans="13:13" x14ac:dyDescent="0.25">
      <c r="M41872" t="s">
        <v>260</v>
      </c>
    </row>
    <row r="41873" spans="13:13" x14ac:dyDescent="0.25">
      <c r="M41873" t="s">
        <v>261</v>
      </c>
    </row>
    <row r="41874" spans="13:13" x14ac:dyDescent="0.25">
      <c r="M41874" t="s">
        <v>262</v>
      </c>
    </row>
    <row r="41875" spans="13:13" x14ac:dyDescent="0.25">
      <c r="M41875" t="s">
        <v>263</v>
      </c>
    </row>
    <row r="41926" spans="13:13" x14ac:dyDescent="0.25">
      <c r="M41926" t="s">
        <v>264</v>
      </c>
    </row>
    <row r="41927" spans="13:13" x14ac:dyDescent="0.25">
      <c r="M41927" t="s">
        <v>265</v>
      </c>
    </row>
    <row r="41928" spans="13:13" x14ac:dyDescent="0.25">
      <c r="M41928" t="s">
        <v>266</v>
      </c>
    </row>
    <row r="41977" spans="13:13" x14ac:dyDescent="0.25">
      <c r="M41977" t="s">
        <v>267</v>
      </c>
    </row>
    <row r="41978" spans="13:13" x14ac:dyDescent="0.25">
      <c r="M41978" t="s">
        <v>268</v>
      </c>
    </row>
    <row r="41979" spans="13:13" x14ac:dyDescent="0.25">
      <c r="M41979" t="s">
        <v>269</v>
      </c>
    </row>
    <row r="41980" spans="13:13" x14ac:dyDescent="0.25">
      <c r="M41980" t="s">
        <v>270</v>
      </c>
    </row>
    <row r="41981" spans="13:13" x14ac:dyDescent="0.25">
      <c r="M41981" t="s">
        <v>271</v>
      </c>
    </row>
    <row r="41982" spans="13:13" x14ac:dyDescent="0.25">
      <c r="M41982" t="s">
        <v>272</v>
      </c>
    </row>
    <row r="42003" spans="13:13" x14ac:dyDescent="0.25">
      <c r="M42003" t="s">
        <v>273</v>
      </c>
    </row>
    <row r="42004" spans="13:13" x14ac:dyDescent="0.25">
      <c r="M42004" t="s">
        <v>274</v>
      </c>
    </row>
    <row r="42007" spans="13:13" x14ac:dyDescent="0.25">
      <c r="M42007" t="s">
        <v>275</v>
      </c>
    </row>
    <row r="42008" spans="13:13" x14ac:dyDescent="0.25">
      <c r="M42008" t="s">
        <v>276</v>
      </c>
    </row>
    <row r="42009" spans="13:13" x14ac:dyDescent="0.25">
      <c r="M42009" t="s">
        <v>277</v>
      </c>
    </row>
    <row r="42014" spans="13:13" x14ac:dyDescent="0.25">
      <c r="M42014" t="s">
        <v>278</v>
      </c>
    </row>
    <row r="42015" spans="13:13" x14ac:dyDescent="0.25">
      <c r="M42015" t="s">
        <v>279</v>
      </c>
    </row>
    <row r="42031" spans="13:13" x14ac:dyDescent="0.25">
      <c r="M42031" t="s">
        <v>203</v>
      </c>
    </row>
    <row r="42032" spans="13:13" x14ac:dyDescent="0.25">
      <c r="M42032" t="s">
        <v>204</v>
      </c>
    </row>
    <row r="42033" spans="13:13" x14ac:dyDescent="0.25">
      <c r="M42033" t="s">
        <v>205</v>
      </c>
    </row>
    <row r="42034" spans="13:13" x14ac:dyDescent="0.25">
      <c r="M42034" t="s">
        <v>206</v>
      </c>
    </row>
    <row r="42035" spans="13:13" x14ac:dyDescent="0.25">
      <c r="M42035" t="s">
        <v>207</v>
      </c>
    </row>
    <row r="42036" spans="13:13" x14ac:dyDescent="0.25">
      <c r="M42036" t="s">
        <v>208</v>
      </c>
    </row>
    <row r="42037" spans="13:13" x14ac:dyDescent="0.25">
      <c r="M42037" t="s">
        <v>209</v>
      </c>
    </row>
    <row r="42038" spans="13:13" x14ac:dyDescent="0.25">
      <c r="M42038" t="s">
        <v>210</v>
      </c>
    </row>
    <row r="42058" spans="13:13" x14ac:dyDescent="0.25">
      <c r="M42058" t="s">
        <v>211</v>
      </c>
    </row>
    <row r="42059" spans="13:13" x14ac:dyDescent="0.25">
      <c r="M42059" t="s">
        <v>212</v>
      </c>
    </row>
    <row r="42060" spans="13:13" x14ac:dyDescent="0.25">
      <c r="M42060" t="s">
        <v>213</v>
      </c>
    </row>
    <row r="42061" spans="13:13" x14ac:dyDescent="0.25">
      <c r="M42061" t="s">
        <v>214</v>
      </c>
    </row>
    <row r="42062" spans="13:13" x14ac:dyDescent="0.25">
      <c r="M42062" t="s">
        <v>215</v>
      </c>
    </row>
    <row r="42063" spans="13:13" x14ac:dyDescent="0.25">
      <c r="M42063" t="s">
        <v>216</v>
      </c>
    </row>
    <row r="42064" spans="13:13" x14ac:dyDescent="0.25">
      <c r="M42064" t="s">
        <v>217</v>
      </c>
    </row>
    <row r="42065" spans="13:13" x14ac:dyDescent="0.25">
      <c r="M42065" t="s">
        <v>218</v>
      </c>
    </row>
    <row r="42066" spans="13:13" x14ac:dyDescent="0.25">
      <c r="M42066" t="s">
        <v>219</v>
      </c>
    </row>
    <row r="42067" spans="13:13" x14ac:dyDescent="0.25">
      <c r="M42067" t="s">
        <v>220</v>
      </c>
    </row>
    <row r="42071" spans="13:13" x14ac:dyDescent="0.25">
      <c r="M42071" t="s">
        <v>221</v>
      </c>
    </row>
    <row r="42072" spans="13:13" x14ac:dyDescent="0.25">
      <c r="M42072" t="s">
        <v>222</v>
      </c>
    </row>
    <row r="42073" spans="13:13" x14ac:dyDescent="0.25">
      <c r="M42073" t="s">
        <v>223</v>
      </c>
    </row>
    <row r="42074" spans="13:13" x14ac:dyDescent="0.25">
      <c r="M42074" t="s">
        <v>224</v>
      </c>
    </row>
    <row r="42075" spans="13:13" x14ac:dyDescent="0.25">
      <c r="M42075" t="s">
        <v>225</v>
      </c>
    </row>
    <row r="42076" spans="13:13" x14ac:dyDescent="0.25">
      <c r="M42076" t="s">
        <v>226</v>
      </c>
    </row>
    <row r="42077" spans="13:13" x14ac:dyDescent="0.25">
      <c r="M42077" t="s">
        <v>227</v>
      </c>
    </row>
    <row r="42078" spans="13:13" x14ac:dyDescent="0.25">
      <c r="M42078" t="s">
        <v>228</v>
      </c>
    </row>
    <row r="42079" spans="13:13" x14ac:dyDescent="0.25">
      <c r="M42079" t="s">
        <v>229</v>
      </c>
    </row>
    <row r="42080" spans="13:13" x14ac:dyDescent="0.25">
      <c r="M42080" t="s">
        <v>230</v>
      </c>
    </row>
    <row r="42081" spans="13:13" x14ac:dyDescent="0.25">
      <c r="M42081" t="s">
        <v>231</v>
      </c>
    </row>
    <row r="42082" spans="13:13" x14ac:dyDescent="0.25">
      <c r="M42082" t="s">
        <v>232</v>
      </c>
    </row>
    <row r="42083" spans="13:13" x14ac:dyDescent="0.25">
      <c r="M42083" t="s">
        <v>233</v>
      </c>
    </row>
    <row r="42084" spans="13:13" x14ac:dyDescent="0.25">
      <c r="M42084" t="s">
        <v>234</v>
      </c>
    </row>
    <row r="42085" spans="13:13" x14ac:dyDescent="0.25">
      <c r="M42085" t="s">
        <v>235</v>
      </c>
    </row>
    <row r="42086" spans="13:13" x14ac:dyDescent="0.25">
      <c r="M42086" t="s">
        <v>236</v>
      </c>
    </row>
    <row r="42087" spans="13:13" x14ac:dyDescent="0.25">
      <c r="M42087" t="s">
        <v>237</v>
      </c>
    </row>
    <row r="42088" spans="13:13" x14ac:dyDescent="0.25">
      <c r="M42088" t="s">
        <v>238</v>
      </c>
    </row>
    <row r="42089" spans="13:13" x14ac:dyDescent="0.25">
      <c r="M42089" t="s">
        <v>239</v>
      </c>
    </row>
    <row r="42090" spans="13:13" x14ac:dyDescent="0.25">
      <c r="M42090" t="s">
        <v>240</v>
      </c>
    </row>
    <row r="42091" spans="13:13" x14ac:dyDescent="0.25">
      <c r="M42091" t="s">
        <v>241</v>
      </c>
    </row>
    <row r="42092" spans="13:13" x14ac:dyDescent="0.25">
      <c r="M42092" t="s">
        <v>242</v>
      </c>
    </row>
    <row r="42093" spans="13:13" x14ac:dyDescent="0.25">
      <c r="M42093" t="s">
        <v>243</v>
      </c>
    </row>
    <row r="42094" spans="13:13" x14ac:dyDescent="0.25">
      <c r="M42094" t="s">
        <v>244</v>
      </c>
    </row>
    <row r="42095" spans="13:13" x14ac:dyDescent="0.25">
      <c r="M42095" t="s">
        <v>245</v>
      </c>
    </row>
    <row r="42096" spans="13:13" x14ac:dyDescent="0.25">
      <c r="M42096" t="s">
        <v>246</v>
      </c>
    </row>
    <row r="42097" spans="13:13" x14ac:dyDescent="0.25">
      <c r="M42097" t="s">
        <v>247</v>
      </c>
    </row>
    <row r="42098" spans="13:13" x14ac:dyDescent="0.25">
      <c r="M42098" t="s">
        <v>248</v>
      </c>
    </row>
    <row r="42099" spans="13:13" x14ac:dyDescent="0.25">
      <c r="M42099" t="s">
        <v>249</v>
      </c>
    </row>
    <row r="42100" spans="13:13" x14ac:dyDescent="0.25">
      <c r="M42100" t="s">
        <v>250</v>
      </c>
    </row>
    <row r="42101" spans="13:13" x14ac:dyDescent="0.25">
      <c r="M42101" t="s">
        <v>251</v>
      </c>
    </row>
    <row r="42102" spans="13:13" x14ac:dyDescent="0.25">
      <c r="M42102" t="s">
        <v>252</v>
      </c>
    </row>
    <row r="42103" spans="13:13" x14ac:dyDescent="0.25">
      <c r="M42103" t="s">
        <v>253</v>
      </c>
    </row>
    <row r="42113" spans="13:13" x14ac:dyDescent="0.25">
      <c r="M42113" t="s">
        <v>254</v>
      </c>
    </row>
    <row r="42114" spans="13:13" x14ac:dyDescent="0.25">
      <c r="M42114" t="s">
        <v>83</v>
      </c>
    </row>
    <row r="42128" spans="13:13" x14ac:dyDescent="0.25">
      <c r="M42128" t="s">
        <v>255</v>
      </c>
    </row>
    <row r="42129" spans="13:13" x14ac:dyDescent="0.25">
      <c r="M42129" t="s">
        <v>256</v>
      </c>
    </row>
    <row r="42130" spans="13:13" x14ac:dyDescent="0.25">
      <c r="M42130" t="s">
        <v>257</v>
      </c>
    </row>
    <row r="42131" spans="13:13" x14ac:dyDescent="0.25">
      <c r="M42131" t="s">
        <v>258</v>
      </c>
    </row>
    <row r="42132" spans="13:13" x14ac:dyDescent="0.25">
      <c r="M42132" t="s">
        <v>259</v>
      </c>
    </row>
    <row r="42133" spans="13:13" x14ac:dyDescent="0.25">
      <c r="M42133" t="s">
        <v>260</v>
      </c>
    </row>
    <row r="42134" spans="13:13" x14ac:dyDescent="0.25">
      <c r="M42134" t="s">
        <v>261</v>
      </c>
    </row>
    <row r="42135" spans="13:13" x14ac:dyDescent="0.25">
      <c r="M42135" t="s">
        <v>262</v>
      </c>
    </row>
    <row r="42136" spans="13:13" x14ac:dyDescent="0.25">
      <c r="M42136" t="s">
        <v>263</v>
      </c>
    </row>
    <row r="42187" spans="13:13" x14ac:dyDescent="0.25">
      <c r="M42187" t="s">
        <v>264</v>
      </c>
    </row>
    <row r="42188" spans="13:13" x14ac:dyDescent="0.25">
      <c r="M42188" t="s">
        <v>265</v>
      </c>
    </row>
    <row r="42189" spans="13:13" x14ac:dyDescent="0.25">
      <c r="M42189" t="s">
        <v>266</v>
      </c>
    </row>
    <row r="42238" spans="13:13" x14ac:dyDescent="0.25">
      <c r="M42238" t="s">
        <v>267</v>
      </c>
    </row>
    <row r="42239" spans="13:13" x14ac:dyDescent="0.25">
      <c r="M42239" t="s">
        <v>268</v>
      </c>
    </row>
    <row r="42240" spans="13:13" x14ac:dyDescent="0.25">
      <c r="M42240" t="s">
        <v>269</v>
      </c>
    </row>
    <row r="42241" spans="13:13" x14ac:dyDescent="0.25">
      <c r="M42241" t="s">
        <v>270</v>
      </c>
    </row>
    <row r="42242" spans="13:13" x14ac:dyDescent="0.25">
      <c r="M42242" t="s">
        <v>271</v>
      </c>
    </row>
    <row r="42243" spans="13:13" x14ac:dyDescent="0.25">
      <c r="M42243" t="s">
        <v>272</v>
      </c>
    </row>
    <row r="42264" spans="13:13" x14ac:dyDescent="0.25">
      <c r="M42264" t="s">
        <v>273</v>
      </c>
    </row>
    <row r="42265" spans="13:13" x14ac:dyDescent="0.25">
      <c r="M42265" t="s">
        <v>274</v>
      </c>
    </row>
    <row r="42268" spans="13:13" x14ac:dyDescent="0.25">
      <c r="M42268" t="s">
        <v>275</v>
      </c>
    </row>
    <row r="42269" spans="13:13" x14ac:dyDescent="0.25">
      <c r="M42269" t="s">
        <v>276</v>
      </c>
    </row>
    <row r="42270" spans="13:13" x14ac:dyDescent="0.25">
      <c r="M42270" t="s">
        <v>277</v>
      </c>
    </row>
    <row r="42275" spans="13:13" x14ac:dyDescent="0.25">
      <c r="M42275" t="s">
        <v>278</v>
      </c>
    </row>
    <row r="42276" spans="13:13" x14ac:dyDescent="0.25">
      <c r="M42276" t="s">
        <v>279</v>
      </c>
    </row>
    <row r="42292" spans="13:13" x14ac:dyDescent="0.25">
      <c r="M42292" t="s">
        <v>203</v>
      </c>
    </row>
    <row r="42293" spans="13:13" x14ac:dyDescent="0.25">
      <c r="M42293" t="s">
        <v>204</v>
      </c>
    </row>
    <row r="42294" spans="13:13" x14ac:dyDescent="0.25">
      <c r="M42294" t="s">
        <v>205</v>
      </c>
    </row>
    <row r="42295" spans="13:13" x14ac:dyDescent="0.25">
      <c r="M42295" t="s">
        <v>206</v>
      </c>
    </row>
    <row r="42296" spans="13:13" x14ac:dyDescent="0.25">
      <c r="M42296" t="s">
        <v>207</v>
      </c>
    </row>
    <row r="42297" spans="13:13" x14ac:dyDescent="0.25">
      <c r="M42297" t="s">
        <v>208</v>
      </c>
    </row>
    <row r="42298" spans="13:13" x14ac:dyDescent="0.25">
      <c r="M42298" t="s">
        <v>209</v>
      </c>
    </row>
    <row r="42299" spans="13:13" x14ac:dyDescent="0.25">
      <c r="M42299" t="s">
        <v>210</v>
      </c>
    </row>
    <row r="42319" spans="13:13" x14ac:dyDescent="0.25">
      <c r="M42319" t="s">
        <v>211</v>
      </c>
    </row>
    <row r="42320" spans="13:13" x14ac:dyDescent="0.25">
      <c r="M42320" t="s">
        <v>212</v>
      </c>
    </row>
    <row r="42321" spans="13:13" x14ac:dyDescent="0.25">
      <c r="M42321" t="s">
        <v>213</v>
      </c>
    </row>
    <row r="42322" spans="13:13" x14ac:dyDescent="0.25">
      <c r="M42322" t="s">
        <v>214</v>
      </c>
    </row>
    <row r="42323" spans="13:13" x14ac:dyDescent="0.25">
      <c r="M42323" t="s">
        <v>215</v>
      </c>
    </row>
    <row r="42324" spans="13:13" x14ac:dyDescent="0.25">
      <c r="M42324" t="s">
        <v>216</v>
      </c>
    </row>
    <row r="42325" spans="13:13" x14ac:dyDescent="0.25">
      <c r="M42325" t="s">
        <v>217</v>
      </c>
    </row>
    <row r="42326" spans="13:13" x14ac:dyDescent="0.25">
      <c r="M42326" t="s">
        <v>218</v>
      </c>
    </row>
    <row r="42327" spans="13:13" x14ac:dyDescent="0.25">
      <c r="M42327" t="s">
        <v>219</v>
      </c>
    </row>
    <row r="42328" spans="13:13" x14ac:dyDescent="0.25">
      <c r="M42328" t="s">
        <v>220</v>
      </c>
    </row>
    <row r="42332" spans="13:13" x14ac:dyDescent="0.25">
      <c r="M42332" t="s">
        <v>221</v>
      </c>
    </row>
    <row r="42333" spans="13:13" x14ac:dyDescent="0.25">
      <c r="M42333" t="s">
        <v>222</v>
      </c>
    </row>
    <row r="42334" spans="13:13" x14ac:dyDescent="0.25">
      <c r="M42334" t="s">
        <v>223</v>
      </c>
    </row>
    <row r="42335" spans="13:13" x14ac:dyDescent="0.25">
      <c r="M42335" t="s">
        <v>224</v>
      </c>
    </row>
    <row r="42336" spans="13:13" x14ac:dyDescent="0.25">
      <c r="M42336" t="s">
        <v>225</v>
      </c>
    </row>
    <row r="42337" spans="13:13" x14ac:dyDescent="0.25">
      <c r="M42337" t="s">
        <v>226</v>
      </c>
    </row>
    <row r="42338" spans="13:13" x14ac:dyDescent="0.25">
      <c r="M42338" t="s">
        <v>227</v>
      </c>
    </row>
    <row r="42339" spans="13:13" x14ac:dyDescent="0.25">
      <c r="M42339" t="s">
        <v>228</v>
      </c>
    </row>
    <row r="42340" spans="13:13" x14ac:dyDescent="0.25">
      <c r="M42340" t="s">
        <v>229</v>
      </c>
    </row>
    <row r="42341" spans="13:13" x14ac:dyDescent="0.25">
      <c r="M42341" t="s">
        <v>230</v>
      </c>
    </row>
    <row r="42342" spans="13:13" x14ac:dyDescent="0.25">
      <c r="M42342" t="s">
        <v>231</v>
      </c>
    </row>
    <row r="42343" spans="13:13" x14ac:dyDescent="0.25">
      <c r="M42343" t="s">
        <v>232</v>
      </c>
    </row>
    <row r="42344" spans="13:13" x14ac:dyDescent="0.25">
      <c r="M42344" t="s">
        <v>233</v>
      </c>
    </row>
    <row r="42345" spans="13:13" x14ac:dyDescent="0.25">
      <c r="M42345" t="s">
        <v>234</v>
      </c>
    </row>
    <row r="42346" spans="13:13" x14ac:dyDescent="0.25">
      <c r="M42346" t="s">
        <v>235</v>
      </c>
    </row>
    <row r="42347" spans="13:13" x14ac:dyDescent="0.25">
      <c r="M42347" t="s">
        <v>236</v>
      </c>
    </row>
    <row r="42348" spans="13:13" x14ac:dyDescent="0.25">
      <c r="M42348" t="s">
        <v>237</v>
      </c>
    </row>
    <row r="42349" spans="13:13" x14ac:dyDescent="0.25">
      <c r="M42349" t="s">
        <v>238</v>
      </c>
    </row>
    <row r="42350" spans="13:13" x14ac:dyDescent="0.25">
      <c r="M42350" t="s">
        <v>239</v>
      </c>
    </row>
    <row r="42351" spans="13:13" x14ac:dyDescent="0.25">
      <c r="M42351" t="s">
        <v>240</v>
      </c>
    </row>
    <row r="42352" spans="13:13" x14ac:dyDescent="0.25">
      <c r="M42352" t="s">
        <v>241</v>
      </c>
    </row>
    <row r="42353" spans="13:13" x14ac:dyDescent="0.25">
      <c r="M42353" t="s">
        <v>242</v>
      </c>
    </row>
    <row r="42354" spans="13:13" x14ac:dyDescent="0.25">
      <c r="M42354" t="s">
        <v>243</v>
      </c>
    </row>
    <row r="42355" spans="13:13" x14ac:dyDescent="0.25">
      <c r="M42355" t="s">
        <v>244</v>
      </c>
    </row>
    <row r="42356" spans="13:13" x14ac:dyDescent="0.25">
      <c r="M42356" t="s">
        <v>245</v>
      </c>
    </row>
    <row r="42357" spans="13:13" x14ac:dyDescent="0.25">
      <c r="M42357" t="s">
        <v>246</v>
      </c>
    </row>
    <row r="42358" spans="13:13" x14ac:dyDescent="0.25">
      <c r="M42358" t="s">
        <v>247</v>
      </c>
    </row>
    <row r="42359" spans="13:13" x14ac:dyDescent="0.25">
      <c r="M42359" t="s">
        <v>248</v>
      </c>
    </row>
    <row r="42360" spans="13:13" x14ac:dyDescent="0.25">
      <c r="M42360" t="s">
        <v>249</v>
      </c>
    </row>
    <row r="42361" spans="13:13" x14ac:dyDescent="0.25">
      <c r="M42361" t="s">
        <v>250</v>
      </c>
    </row>
    <row r="42362" spans="13:13" x14ac:dyDescent="0.25">
      <c r="M42362" t="s">
        <v>251</v>
      </c>
    </row>
    <row r="42363" spans="13:13" x14ac:dyDescent="0.25">
      <c r="M42363" t="s">
        <v>252</v>
      </c>
    </row>
    <row r="42364" spans="13:13" x14ac:dyDescent="0.25">
      <c r="M42364" t="s">
        <v>253</v>
      </c>
    </row>
    <row r="42374" spans="13:13" x14ac:dyDescent="0.25">
      <c r="M42374" t="s">
        <v>254</v>
      </c>
    </row>
    <row r="42375" spans="13:13" x14ac:dyDescent="0.25">
      <c r="M42375" t="s">
        <v>83</v>
      </c>
    </row>
    <row r="42389" spans="13:13" x14ac:dyDescent="0.25">
      <c r="M42389" t="s">
        <v>255</v>
      </c>
    </row>
    <row r="42390" spans="13:13" x14ac:dyDescent="0.25">
      <c r="M42390" t="s">
        <v>256</v>
      </c>
    </row>
    <row r="42391" spans="13:13" x14ac:dyDescent="0.25">
      <c r="M42391" t="s">
        <v>257</v>
      </c>
    </row>
    <row r="42392" spans="13:13" x14ac:dyDescent="0.25">
      <c r="M42392" t="s">
        <v>258</v>
      </c>
    </row>
    <row r="42393" spans="13:13" x14ac:dyDescent="0.25">
      <c r="M42393" t="s">
        <v>259</v>
      </c>
    </row>
    <row r="42394" spans="13:13" x14ac:dyDescent="0.25">
      <c r="M42394" t="s">
        <v>260</v>
      </c>
    </row>
    <row r="42395" spans="13:13" x14ac:dyDescent="0.25">
      <c r="M42395" t="s">
        <v>261</v>
      </c>
    </row>
    <row r="42396" spans="13:13" x14ac:dyDescent="0.25">
      <c r="M42396" t="s">
        <v>262</v>
      </c>
    </row>
    <row r="42397" spans="13:13" x14ac:dyDescent="0.25">
      <c r="M42397" t="s">
        <v>263</v>
      </c>
    </row>
    <row r="42448" spans="13:13" x14ac:dyDescent="0.25">
      <c r="M42448" t="s">
        <v>264</v>
      </c>
    </row>
    <row r="42449" spans="13:13" x14ac:dyDescent="0.25">
      <c r="M42449" t="s">
        <v>265</v>
      </c>
    </row>
    <row r="42450" spans="13:13" x14ac:dyDescent="0.25">
      <c r="M42450" t="s">
        <v>266</v>
      </c>
    </row>
    <row r="42499" spans="13:13" x14ac:dyDescent="0.25">
      <c r="M42499" t="s">
        <v>267</v>
      </c>
    </row>
    <row r="42500" spans="13:13" x14ac:dyDescent="0.25">
      <c r="M42500" t="s">
        <v>268</v>
      </c>
    </row>
    <row r="42501" spans="13:13" x14ac:dyDescent="0.25">
      <c r="M42501" t="s">
        <v>269</v>
      </c>
    </row>
    <row r="42502" spans="13:13" x14ac:dyDescent="0.25">
      <c r="M42502" t="s">
        <v>270</v>
      </c>
    </row>
    <row r="42503" spans="13:13" x14ac:dyDescent="0.25">
      <c r="M42503" t="s">
        <v>271</v>
      </c>
    </row>
    <row r="42504" spans="13:13" x14ac:dyDescent="0.25">
      <c r="M42504" t="s">
        <v>272</v>
      </c>
    </row>
    <row r="42525" spans="13:13" x14ac:dyDescent="0.25">
      <c r="M42525" t="s">
        <v>273</v>
      </c>
    </row>
    <row r="42526" spans="13:13" x14ac:dyDescent="0.25">
      <c r="M42526" t="s">
        <v>274</v>
      </c>
    </row>
    <row r="42529" spans="13:13" x14ac:dyDescent="0.25">
      <c r="M42529" t="s">
        <v>275</v>
      </c>
    </row>
    <row r="42530" spans="13:13" x14ac:dyDescent="0.25">
      <c r="M42530" t="s">
        <v>276</v>
      </c>
    </row>
    <row r="42531" spans="13:13" x14ac:dyDescent="0.25">
      <c r="M42531" t="s">
        <v>277</v>
      </c>
    </row>
    <row r="42536" spans="13:13" x14ac:dyDescent="0.25">
      <c r="M42536" t="s">
        <v>278</v>
      </c>
    </row>
    <row r="42537" spans="13:13" x14ac:dyDescent="0.25">
      <c r="M42537" t="s">
        <v>279</v>
      </c>
    </row>
    <row r="42553" spans="13:13" x14ac:dyDescent="0.25">
      <c r="M42553" t="s">
        <v>203</v>
      </c>
    </row>
    <row r="42554" spans="13:13" x14ac:dyDescent="0.25">
      <c r="M42554" t="s">
        <v>204</v>
      </c>
    </row>
    <row r="42555" spans="13:13" x14ac:dyDescent="0.25">
      <c r="M42555" t="s">
        <v>205</v>
      </c>
    </row>
    <row r="42556" spans="13:13" x14ac:dyDescent="0.25">
      <c r="M42556" t="s">
        <v>206</v>
      </c>
    </row>
    <row r="42557" spans="13:13" x14ac:dyDescent="0.25">
      <c r="M42557" t="s">
        <v>207</v>
      </c>
    </row>
    <row r="42558" spans="13:13" x14ac:dyDescent="0.25">
      <c r="M42558" t="s">
        <v>208</v>
      </c>
    </row>
    <row r="42559" spans="13:13" x14ac:dyDescent="0.25">
      <c r="M42559" t="s">
        <v>209</v>
      </c>
    </row>
    <row r="42560" spans="13:13" x14ac:dyDescent="0.25">
      <c r="M42560" t="s">
        <v>210</v>
      </c>
    </row>
    <row r="42580" spans="13:13" x14ac:dyDescent="0.25">
      <c r="M42580" t="s">
        <v>211</v>
      </c>
    </row>
    <row r="42581" spans="13:13" x14ac:dyDescent="0.25">
      <c r="M42581" t="s">
        <v>212</v>
      </c>
    </row>
    <row r="42582" spans="13:13" x14ac:dyDescent="0.25">
      <c r="M42582" t="s">
        <v>213</v>
      </c>
    </row>
    <row r="42583" spans="13:13" x14ac:dyDescent="0.25">
      <c r="M42583" t="s">
        <v>214</v>
      </c>
    </row>
    <row r="42584" spans="13:13" x14ac:dyDescent="0.25">
      <c r="M42584" t="s">
        <v>215</v>
      </c>
    </row>
    <row r="42585" spans="13:13" x14ac:dyDescent="0.25">
      <c r="M42585" t="s">
        <v>216</v>
      </c>
    </row>
    <row r="42586" spans="13:13" x14ac:dyDescent="0.25">
      <c r="M42586" t="s">
        <v>217</v>
      </c>
    </row>
    <row r="42587" spans="13:13" x14ac:dyDescent="0.25">
      <c r="M42587" t="s">
        <v>218</v>
      </c>
    </row>
    <row r="42588" spans="13:13" x14ac:dyDescent="0.25">
      <c r="M42588" t="s">
        <v>219</v>
      </c>
    </row>
    <row r="42589" spans="13:13" x14ac:dyDescent="0.25">
      <c r="M42589" t="s">
        <v>220</v>
      </c>
    </row>
    <row r="42593" spans="13:13" x14ac:dyDescent="0.25">
      <c r="M42593" t="s">
        <v>221</v>
      </c>
    </row>
    <row r="42594" spans="13:13" x14ac:dyDescent="0.25">
      <c r="M42594" t="s">
        <v>222</v>
      </c>
    </row>
    <row r="42595" spans="13:13" x14ac:dyDescent="0.25">
      <c r="M42595" t="s">
        <v>223</v>
      </c>
    </row>
    <row r="42596" spans="13:13" x14ac:dyDescent="0.25">
      <c r="M42596" t="s">
        <v>224</v>
      </c>
    </row>
    <row r="42597" spans="13:13" x14ac:dyDescent="0.25">
      <c r="M42597" t="s">
        <v>225</v>
      </c>
    </row>
    <row r="42598" spans="13:13" x14ac:dyDescent="0.25">
      <c r="M42598" t="s">
        <v>226</v>
      </c>
    </row>
    <row r="42599" spans="13:13" x14ac:dyDescent="0.25">
      <c r="M42599" t="s">
        <v>227</v>
      </c>
    </row>
    <row r="42600" spans="13:13" x14ac:dyDescent="0.25">
      <c r="M42600" t="s">
        <v>228</v>
      </c>
    </row>
    <row r="42601" spans="13:13" x14ac:dyDescent="0.25">
      <c r="M42601" t="s">
        <v>229</v>
      </c>
    </row>
    <row r="42602" spans="13:13" x14ac:dyDescent="0.25">
      <c r="M42602" t="s">
        <v>230</v>
      </c>
    </row>
    <row r="42603" spans="13:13" x14ac:dyDescent="0.25">
      <c r="M42603" t="s">
        <v>231</v>
      </c>
    </row>
    <row r="42604" spans="13:13" x14ac:dyDescent="0.25">
      <c r="M42604" t="s">
        <v>232</v>
      </c>
    </row>
    <row r="42605" spans="13:13" x14ac:dyDescent="0.25">
      <c r="M42605" t="s">
        <v>233</v>
      </c>
    </row>
    <row r="42606" spans="13:13" x14ac:dyDescent="0.25">
      <c r="M42606" t="s">
        <v>234</v>
      </c>
    </row>
    <row r="42607" spans="13:13" x14ac:dyDescent="0.25">
      <c r="M42607" t="s">
        <v>235</v>
      </c>
    </row>
    <row r="42608" spans="13:13" x14ac:dyDescent="0.25">
      <c r="M42608" t="s">
        <v>236</v>
      </c>
    </row>
    <row r="42609" spans="13:13" x14ac:dyDescent="0.25">
      <c r="M42609" t="s">
        <v>237</v>
      </c>
    </row>
    <row r="42610" spans="13:13" x14ac:dyDescent="0.25">
      <c r="M42610" t="s">
        <v>238</v>
      </c>
    </row>
    <row r="42611" spans="13:13" x14ac:dyDescent="0.25">
      <c r="M42611" t="s">
        <v>239</v>
      </c>
    </row>
    <row r="42612" spans="13:13" x14ac:dyDescent="0.25">
      <c r="M42612" t="s">
        <v>240</v>
      </c>
    </row>
    <row r="42613" spans="13:13" x14ac:dyDescent="0.25">
      <c r="M42613" t="s">
        <v>241</v>
      </c>
    </row>
    <row r="42614" spans="13:13" x14ac:dyDescent="0.25">
      <c r="M42614" t="s">
        <v>242</v>
      </c>
    </row>
    <row r="42615" spans="13:13" x14ac:dyDescent="0.25">
      <c r="M42615" t="s">
        <v>243</v>
      </c>
    </row>
    <row r="42616" spans="13:13" x14ac:dyDescent="0.25">
      <c r="M42616" t="s">
        <v>244</v>
      </c>
    </row>
    <row r="42617" spans="13:13" x14ac:dyDescent="0.25">
      <c r="M42617" t="s">
        <v>245</v>
      </c>
    </row>
    <row r="42618" spans="13:13" x14ac:dyDescent="0.25">
      <c r="M42618" t="s">
        <v>246</v>
      </c>
    </row>
    <row r="42619" spans="13:13" x14ac:dyDescent="0.25">
      <c r="M42619" t="s">
        <v>247</v>
      </c>
    </row>
    <row r="42620" spans="13:13" x14ac:dyDescent="0.25">
      <c r="M42620" t="s">
        <v>248</v>
      </c>
    </row>
    <row r="42621" spans="13:13" x14ac:dyDescent="0.25">
      <c r="M42621" t="s">
        <v>249</v>
      </c>
    </row>
    <row r="42622" spans="13:13" x14ac:dyDescent="0.25">
      <c r="M42622" t="s">
        <v>250</v>
      </c>
    </row>
    <row r="42623" spans="13:13" x14ac:dyDescent="0.25">
      <c r="M42623" t="s">
        <v>251</v>
      </c>
    </row>
    <row r="42624" spans="13:13" x14ac:dyDescent="0.25">
      <c r="M42624" t="s">
        <v>252</v>
      </c>
    </row>
    <row r="42625" spans="13:13" x14ac:dyDescent="0.25">
      <c r="M42625" t="s">
        <v>253</v>
      </c>
    </row>
    <row r="42635" spans="13:13" x14ac:dyDescent="0.25">
      <c r="M42635" t="s">
        <v>254</v>
      </c>
    </row>
    <row r="42636" spans="13:13" x14ac:dyDescent="0.25">
      <c r="M42636" t="s">
        <v>83</v>
      </c>
    </row>
    <row r="42650" spans="13:13" x14ac:dyDescent="0.25">
      <c r="M42650" t="s">
        <v>255</v>
      </c>
    </row>
    <row r="42651" spans="13:13" x14ac:dyDescent="0.25">
      <c r="M42651" t="s">
        <v>256</v>
      </c>
    </row>
    <row r="42652" spans="13:13" x14ac:dyDescent="0.25">
      <c r="M42652" t="s">
        <v>257</v>
      </c>
    </row>
    <row r="42653" spans="13:13" x14ac:dyDescent="0.25">
      <c r="M42653" t="s">
        <v>258</v>
      </c>
    </row>
    <row r="42654" spans="13:13" x14ac:dyDescent="0.25">
      <c r="M42654" t="s">
        <v>259</v>
      </c>
    </row>
    <row r="42655" spans="13:13" x14ac:dyDescent="0.25">
      <c r="M42655" t="s">
        <v>260</v>
      </c>
    </row>
    <row r="42656" spans="13:13" x14ac:dyDescent="0.25">
      <c r="M42656" t="s">
        <v>261</v>
      </c>
    </row>
    <row r="42657" spans="13:13" x14ac:dyDescent="0.25">
      <c r="M42657" t="s">
        <v>262</v>
      </c>
    </row>
    <row r="42658" spans="13:13" x14ac:dyDescent="0.25">
      <c r="M42658" t="s">
        <v>263</v>
      </c>
    </row>
    <row r="42709" spans="13:13" x14ac:dyDescent="0.25">
      <c r="M42709" t="s">
        <v>264</v>
      </c>
    </row>
    <row r="42710" spans="13:13" x14ac:dyDescent="0.25">
      <c r="M42710" t="s">
        <v>265</v>
      </c>
    </row>
    <row r="42711" spans="13:13" x14ac:dyDescent="0.25">
      <c r="M42711" t="s">
        <v>266</v>
      </c>
    </row>
    <row r="42760" spans="13:13" x14ac:dyDescent="0.25">
      <c r="M42760" t="s">
        <v>267</v>
      </c>
    </row>
    <row r="42761" spans="13:13" x14ac:dyDescent="0.25">
      <c r="M42761" t="s">
        <v>268</v>
      </c>
    </row>
    <row r="42762" spans="13:13" x14ac:dyDescent="0.25">
      <c r="M42762" t="s">
        <v>269</v>
      </c>
    </row>
    <row r="42763" spans="13:13" x14ac:dyDescent="0.25">
      <c r="M42763" t="s">
        <v>270</v>
      </c>
    </row>
    <row r="42764" spans="13:13" x14ac:dyDescent="0.25">
      <c r="M42764" t="s">
        <v>271</v>
      </c>
    </row>
    <row r="42765" spans="13:13" x14ac:dyDescent="0.25">
      <c r="M42765" t="s">
        <v>272</v>
      </c>
    </row>
    <row r="42786" spans="13:13" x14ac:dyDescent="0.25">
      <c r="M42786" t="s">
        <v>273</v>
      </c>
    </row>
    <row r="42787" spans="13:13" x14ac:dyDescent="0.25">
      <c r="M42787" t="s">
        <v>274</v>
      </c>
    </row>
    <row r="42790" spans="13:13" x14ac:dyDescent="0.25">
      <c r="M42790" t="s">
        <v>275</v>
      </c>
    </row>
    <row r="42791" spans="13:13" x14ac:dyDescent="0.25">
      <c r="M42791" t="s">
        <v>276</v>
      </c>
    </row>
    <row r="42792" spans="13:13" x14ac:dyDescent="0.25">
      <c r="M42792" t="s">
        <v>277</v>
      </c>
    </row>
    <row r="42797" spans="13:13" x14ac:dyDescent="0.25">
      <c r="M42797" t="s">
        <v>278</v>
      </c>
    </row>
    <row r="42798" spans="13:13" x14ac:dyDescent="0.25">
      <c r="M42798" t="s">
        <v>279</v>
      </c>
    </row>
    <row r="42814" spans="13:13" x14ac:dyDescent="0.25">
      <c r="M42814" t="s">
        <v>203</v>
      </c>
    </row>
    <row r="42815" spans="13:13" x14ac:dyDescent="0.25">
      <c r="M42815" t="s">
        <v>204</v>
      </c>
    </row>
    <row r="42816" spans="13:13" x14ac:dyDescent="0.25">
      <c r="M42816" t="s">
        <v>205</v>
      </c>
    </row>
    <row r="42817" spans="13:13" x14ac:dyDescent="0.25">
      <c r="M42817" t="s">
        <v>206</v>
      </c>
    </row>
    <row r="42818" spans="13:13" x14ac:dyDescent="0.25">
      <c r="M42818" t="s">
        <v>207</v>
      </c>
    </row>
    <row r="42819" spans="13:13" x14ac:dyDescent="0.25">
      <c r="M42819" t="s">
        <v>208</v>
      </c>
    </row>
    <row r="42820" spans="13:13" x14ac:dyDescent="0.25">
      <c r="M42820" t="s">
        <v>209</v>
      </c>
    </row>
    <row r="42821" spans="13:13" x14ac:dyDescent="0.25">
      <c r="M42821" t="s">
        <v>210</v>
      </c>
    </row>
    <row r="42841" spans="13:13" x14ac:dyDescent="0.25">
      <c r="M42841" t="s">
        <v>211</v>
      </c>
    </row>
    <row r="42842" spans="13:13" x14ac:dyDescent="0.25">
      <c r="M42842" t="s">
        <v>212</v>
      </c>
    </row>
    <row r="42843" spans="13:13" x14ac:dyDescent="0.25">
      <c r="M42843" t="s">
        <v>213</v>
      </c>
    </row>
    <row r="42844" spans="13:13" x14ac:dyDescent="0.25">
      <c r="M42844" t="s">
        <v>214</v>
      </c>
    </row>
    <row r="42845" spans="13:13" x14ac:dyDescent="0.25">
      <c r="M42845" t="s">
        <v>215</v>
      </c>
    </row>
    <row r="42846" spans="13:13" x14ac:dyDescent="0.25">
      <c r="M42846" t="s">
        <v>216</v>
      </c>
    </row>
    <row r="42847" spans="13:13" x14ac:dyDescent="0.25">
      <c r="M42847" t="s">
        <v>217</v>
      </c>
    </row>
    <row r="42848" spans="13:13" x14ac:dyDescent="0.25">
      <c r="M42848" t="s">
        <v>218</v>
      </c>
    </row>
    <row r="42849" spans="13:13" x14ac:dyDescent="0.25">
      <c r="M42849" t="s">
        <v>219</v>
      </c>
    </row>
    <row r="42850" spans="13:13" x14ac:dyDescent="0.25">
      <c r="M42850" t="s">
        <v>220</v>
      </c>
    </row>
    <row r="42854" spans="13:13" x14ac:dyDescent="0.25">
      <c r="M42854" t="s">
        <v>221</v>
      </c>
    </row>
    <row r="42855" spans="13:13" x14ac:dyDescent="0.25">
      <c r="M42855" t="s">
        <v>222</v>
      </c>
    </row>
    <row r="42856" spans="13:13" x14ac:dyDescent="0.25">
      <c r="M42856" t="s">
        <v>223</v>
      </c>
    </row>
    <row r="42857" spans="13:13" x14ac:dyDescent="0.25">
      <c r="M42857" t="s">
        <v>224</v>
      </c>
    </row>
    <row r="42858" spans="13:13" x14ac:dyDescent="0.25">
      <c r="M42858" t="s">
        <v>225</v>
      </c>
    </row>
    <row r="42859" spans="13:13" x14ac:dyDescent="0.25">
      <c r="M42859" t="s">
        <v>226</v>
      </c>
    </row>
    <row r="42860" spans="13:13" x14ac:dyDescent="0.25">
      <c r="M42860" t="s">
        <v>227</v>
      </c>
    </row>
    <row r="42861" spans="13:13" x14ac:dyDescent="0.25">
      <c r="M42861" t="s">
        <v>228</v>
      </c>
    </row>
    <row r="42862" spans="13:13" x14ac:dyDescent="0.25">
      <c r="M42862" t="s">
        <v>229</v>
      </c>
    </row>
    <row r="42863" spans="13:13" x14ac:dyDescent="0.25">
      <c r="M42863" t="s">
        <v>230</v>
      </c>
    </row>
    <row r="42864" spans="13:13" x14ac:dyDescent="0.25">
      <c r="M42864" t="s">
        <v>231</v>
      </c>
    </row>
    <row r="42865" spans="13:13" x14ac:dyDescent="0.25">
      <c r="M42865" t="s">
        <v>232</v>
      </c>
    </row>
    <row r="42866" spans="13:13" x14ac:dyDescent="0.25">
      <c r="M42866" t="s">
        <v>233</v>
      </c>
    </row>
    <row r="42867" spans="13:13" x14ac:dyDescent="0.25">
      <c r="M42867" t="s">
        <v>234</v>
      </c>
    </row>
    <row r="42868" spans="13:13" x14ac:dyDescent="0.25">
      <c r="M42868" t="s">
        <v>235</v>
      </c>
    </row>
    <row r="42869" spans="13:13" x14ac:dyDescent="0.25">
      <c r="M42869" t="s">
        <v>236</v>
      </c>
    </row>
    <row r="42870" spans="13:13" x14ac:dyDescent="0.25">
      <c r="M42870" t="s">
        <v>237</v>
      </c>
    </row>
    <row r="42871" spans="13:13" x14ac:dyDescent="0.25">
      <c r="M42871" t="s">
        <v>238</v>
      </c>
    </row>
    <row r="42872" spans="13:13" x14ac:dyDescent="0.25">
      <c r="M42872" t="s">
        <v>239</v>
      </c>
    </row>
    <row r="42873" spans="13:13" x14ac:dyDescent="0.25">
      <c r="M42873" t="s">
        <v>240</v>
      </c>
    </row>
    <row r="42874" spans="13:13" x14ac:dyDescent="0.25">
      <c r="M42874" t="s">
        <v>241</v>
      </c>
    </row>
    <row r="42875" spans="13:13" x14ac:dyDescent="0.25">
      <c r="M42875" t="s">
        <v>242</v>
      </c>
    </row>
    <row r="42876" spans="13:13" x14ac:dyDescent="0.25">
      <c r="M42876" t="s">
        <v>243</v>
      </c>
    </row>
    <row r="42877" spans="13:13" x14ac:dyDescent="0.25">
      <c r="M42877" t="s">
        <v>244</v>
      </c>
    </row>
    <row r="42878" spans="13:13" x14ac:dyDescent="0.25">
      <c r="M42878" t="s">
        <v>245</v>
      </c>
    </row>
    <row r="42879" spans="13:13" x14ac:dyDescent="0.25">
      <c r="M42879" t="s">
        <v>246</v>
      </c>
    </row>
    <row r="42880" spans="13:13" x14ac:dyDescent="0.25">
      <c r="M42880" t="s">
        <v>247</v>
      </c>
    </row>
    <row r="42881" spans="13:13" x14ac:dyDescent="0.25">
      <c r="M42881" t="s">
        <v>248</v>
      </c>
    </row>
    <row r="42882" spans="13:13" x14ac:dyDescent="0.25">
      <c r="M42882" t="s">
        <v>249</v>
      </c>
    </row>
    <row r="42883" spans="13:13" x14ac:dyDescent="0.25">
      <c r="M42883" t="s">
        <v>250</v>
      </c>
    </row>
    <row r="42884" spans="13:13" x14ac:dyDescent="0.25">
      <c r="M42884" t="s">
        <v>251</v>
      </c>
    </row>
    <row r="42885" spans="13:13" x14ac:dyDescent="0.25">
      <c r="M42885" t="s">
        <v>252</v>
      </c>
    </row>
    <row r="42886" spans="13:13" x14ac:dyDescent="0.25">
      <c r="M42886" t="s">
        <v>253</v>
      </c>
    </row>
    <row r="42896" spans="13:13" x14ac:dyDescent="0.25">
      <c r="M42896" t="s">
        <v>254</v>
      </c>
    </row>
    <row r="42897" spans="13:13" x14ac:dyDescent="0.25">
      <c r="M42897" t="s">
        <v>83</v>
      </c>
    </row>
    <row r="42911" spans="13:13" x14ac:dyDescent="0.25">
      <c r="M42911" t="s">
        <v>255</v>
      </c>
    </row>
    <row r="42912" spans="13:13" x14ac:dyDescent="0.25">
      <c r="M42912" t="s">
        <v>256</v>
      </c>
    </row>
    <row r="42913" spans="13:13" x14ac:dyDescent="0.25">
      <c r="M42913" t="s">
        <v>257</v>
      </c>
    </row>
    <row r="42914" spans="13:13" x14ac:dyDescent="0.25">
      <c r="M42914" t="s">
        <v>258</v>
      </c>
    </row>
    <row r="42915" spans="13:13" x14ac:dyDescent="0.25">
      <c r="M42915" t="s">
        <v>259</v>
      </c>
    </row>
    <row r="42916" spans="13:13" x14ac:dyDescent="0.25">
      <c r="M42916" t="s">
        <v>260</v>
      </c>
    </row>
    <row r="42917" spans="13:13" x14ac:dyDescent="0.25">
      <c r="M42917" t="s">
        <v>261</v>
      </c>
    </row>
    <row r="42918" spans="13:13" x14ac:dyDescent="0.25">
      <c r="M42918" t="s">
        <v>262</v>
      </c>
    </row>
    <row r="42919" spans="13:13" x14ac:dyDescent="0.25">
      <c r="M42919" t="s">
        <v>263</v>
      </c>
    </row>
    <row r="42970" spans="13:13" x14ac:dyDescent="0.25">
      <c r="M42970" t="s">
        <v>264</v>
      </c>
    </row>
    <row r="42971" spans="13:13" x14ac:dyDescent="0.25">
      <c r="M42971" t="s">
        <v>265</v>
      </c>
    </row>
    <row r="42972" spans="13:13" x14ac:dyDescent="0.25">
      <c r="M42972" t="s">
        <v>266</v>
      </c>
    </row>
    <row r="43021" spans="13:13" x14ac:dyDescent="0.25">
      <c r="M43021" t="s">
        <v>267</v>
      </c>
    </row>
    <row r="43022" spans="13:13" x14ac:dyDescent="0.25">
      <c r="M43022" t="s">
        <v>268</v>
      </c>
    </row>
    <row r="43023" spans="13:13" x14ac:dyDescent="0.25">
      <c r="M43023" t="s">
        <v>269</v>
      </c>
    </row>
    <row r="43024" spans="13:13" x14ac:dyDescent="0.25">
      <c r="M43024" t="s">
        <v>270</v>
      </c>
    </row>
    <row r="43025" spans="13:13" x14ac:dyDescent="0.25">
      <c r="M43025" t="s">
        <v>271</v>
      </c>
    </row>
    <row r="43026" spans="13:13" x14ac:dyDescent="0.25">
      <c r="M43026" t="s">
        <v>272</v>
      </c>
    </row>
    <row r="43047" spans="13:13" x14ac:dyDescent="0.25">
      <c r="M43047" t="s">
        <v>273</v>
      </c>
    </row>
    <row r="43048" spans="13:13" x14ac:dyDescent="0.25">
      <c r="M43048" t="s">
        <v>274</v>
      </c>
    </row>
    <row r="43051" spans="13:13" x14ac:dyDescent="0.25">
      <c r="M43051" t="s">
        <v>275</v>
      </c>
    </row>
    <row r="43052" spans="13:13" x14ac:dyDescent="0.25">
      <c r="M43052" t="s">
        <v>276</v>
      </c>
    </row>
    <row r="43053" spans="13:13" x14ac:dyDescent="0.25">
      <c r="M43053" t="s">
        <v>277</v>
      </c>
    </row>
    <row r="43058" spans="13:13" x14ac:dyDescent="0.25">
      <c r="M43058" t="s">
        <v>278</v>
      </c>
    </row>
    <row r="43059" spans="13:13" x14ac:dyDescent="0.25">
      <c r="M43059" t="s">
        <v>279</v>
      </c>
    </row>
    <row r="43075" spans="13:13" x14ac:dyDescent="0.25">
      <c r="M43075" t="s">
        <v>203</v>
      </c>
    </row>
    <row r="43076" spans="13:13" x14ac:dyDescent="0.25">
      <c r="M43076" t="s">
        <v>204</v>
      </c>
    </row>
    <row r="43077" spans="13:13" x14ac:dyDescent="0.25">
      <c r="M43077" t="s">
        <v>205</v>
      </c>
    </row>
    <row r="43078" spans="13:13" x14ac:dyDescent="0.25">
      <c r="M43078" t="s">
        <v>206</v>
      </c>
    </row>
    <row r="43079" spans="13:13" x14ac:dyDescent="0.25">
      <c r="M43079" t="s">
        <v>207</v>
      </c>
    </row>
    <row r="43080" spans="13:13" x14ac:dyDescent="0.25">
      <c r="M43080" t="s">
        <v>208</v>
      </c>
    </row>
    <row r="43081" spans="13:13" x14ac:dyDescent="0.25">
      <c r="M43081" t="s">
        <v>209</v>
      </c>
    </row>
    <row r="43082" spans="13:13" x14ac:dyDescent="0.25">
      <c r="M43082" t="s">
        <v>210</v>
      </c>
    </row>
    <row r="43102" spans="13:13" x14ac:dyDescent="0.25">
      <c r="M43102" t="s">
        <v>211</v>
      </c>
    </row>
    <row r="43103" spans="13:13" x14ac:dyDescent="0.25">
      <c r="M43103" t="s">
        <v>212</v>
      </c>
    </row>
    <row r="43104" spans="13:13" x14ac:dyDescent="0.25">
      <c r="M43104" t="s">
        <v>213</v>
      </c>
    </row>
    <row r="43105" spans="13:13" x14ac:dyDescent="0.25">
      <c r="M43105" t="s">
        <v>214</v>
      </c>
    </row>
    <row r="43106" spans="13:13" x14ac:dyDescent="0.25">
      <c r="M43106" t="s">
        <v>215</v>
      </c>
    </row>
    <row r="43107" spans="13:13" x14ac:dyDescent="0.25">
      <c r="M43107" t="s">
        <v>216</v>
      </c>
    </row>
    <row r="43108" spans="13:13" x14ac:dyDescent="0.25">
      <c r="M43108" t="s">
        <v>217</v>
      </c>
    </row>
    <row r="43109" spans="13:13" x14ac:dyDescent="0.25">
      <c r="M43109" t="s">
        <v>218</v>
      </c>
    </row>
    <row r="43110" spans="13:13" x14ac:dyDescent="0.25">
      <c r="M43110" t="s">
        <v>219</v>
      </c>
    </row>
    <row r="43111" spans="13:13" x14ac:dyDescent="0.25">
      <c r="M43111" t="s">
        <v>220</v>
      </c>
    </row>
    <row r="43115" spans="13:13" x14ac:dyDescent="0.25">
      <c r="M43115" t="s">
        <v>221</v>
      </c>
    </row>
    <row r="43116" spans="13:13" x14ac:dyDescent="0.25">
      <c r="M43116" t="s">
        <v>222</v>
      </c>
    </row>
    <row r="43117" spans="13:13" x14ac:dyDescent="0.25">
      <c r="M43117" t="s">
        <v>223</v>
      </c>
    </row>
    <row r="43118" spans="13:13" x14ac:dyDescent="0.25">
      <c r="M43118" t="s">
        <v>224</v>
      </c>
    </row>
    <row r="43119" spans="13:13" x14ac:dyDescent="0.25">
      <c r="M43119" t="s">
        <v>225</v>
      </c>
    </row>
    <row r="43120" spans="13:13" x14ac:dyDescent="0.25">
      <c r="M43120" t="s">
        <v>226</v>
      </c>
    </row>
    <row r="43121" spans="13:13" x14ac:dyDescent="0.25">
      <c r="M43121" t="s">
        <v>227</v>
      </c>
    </row>
    <row r="43122" spans="13:13" x14ac:dyDescent="0.25">
      <c r="M43122" t="s">
        <v>228</v>
      </c>
    </row>
    <row r="43123" spans="13:13" x14ac:dyDescent="0.25">
      <c r="M43123" t="s">
        <v>229</v>
      </c>
    </row>
    <row r="43124" spans="13:13" x14ac:dyDescent="0.25">
      <c r="M43124" t="s">
        <v>230</v>
      </c>
    </row>
    <row r="43125" spans="13:13" x14ac:dyDescent="0.25">
      <c r="M43125" t="s">
        <v>231</v>
      </c>
    </row>
    <row r="43126" spans="13:13" x14ac:dyDescent="0.25">
      <c r="M43126" t="s">
        <v>232</v>
      </c>
    </row>
    <row r="43127" spans="13:13" x14ac:dyDescent="0.25">
      <c r="M43127" t="s">
        <v>233</v>
      </c>
    </row>
    <row r="43128" spans="13:13" x14ac:dyDescent="0.25">
      <c r="M43128" t="s">
        <v>234</v>
      </c>
    </row>
    <row r="43129" spans="13:13" x14ac:dyDescent="0.25">
      <c r="M43129" t="s">
        <v>235</v>
      </c>
    </row>
    <row r="43130" spans="13:13" x14ac:dyDescent="0.25">
      <c r="M43130" t="s">
        <v>236</v>
      </c>
    </row>
    <row r="43131" spans="13:13" x14ac:dyDescent="0.25">
      <c r="M43131" t="s">
        <v>237</v>
      </c>
    </row>
    <row r="43132" spans="13:13" x14ac:dyDescent="0.25">
      <c r="M43132" t="s">
        <v>238</v>
      </c>
    </row>
    <row r="43133" spans="13:13" x14ac:dyDescent="0.25">
      <c r="M43133" t="s">
        <v>239</v>
      </c>
    </row>
    <row r="43134" spans="13:13" x14ac:dyDescent="0.25">
      <c r="M43134" t="s">
        <v>240</v>
      </c>
    </row>
    <row r="43135" spans="13:13" x14ac:dyDescent="0.25">
      <c r="M43135" t="s">
        <v>241</v>
      </c>
    </row>
    <row r="43136" spans="13:13" x14ac:dyDescent="0.25">
      <c r="M43136" t="s">
        <v>242</v>
      </c>
    </row>
    <row r="43137" spans="13:13" x14ac:dyDescent="0.25">
      <c r="M43137" t="s">
        <v>243</v>
      </c>
    </row>
    <row r="43138" spans="13:13" x14ac:dyDescent="0.25">
      <c r="M43138" t="s">
        <v>244</v>
      </c>
    </row>
    <row r="43139" spans="13:13" x14ac:dyDescent="0.25">
      <c r="M43139" t="s">
        <v>245</v>
      </c>
    </row>
    <row r="43140" spans="13:13" x14ac:dyDescent="0.25">
      <c r="M43140" t="s">
        <v>246</v>
      </c>
    </row>
    <row r="43141" spans="13:13" x14ac:dyDescent="0.25">
      <c r="M43141" t="s">
        <v>247</v>
      </c>
    </row>
    <row r="43142" spans="13:13" x14ac:dyDescent="0.25">
      <c r="M43142" t="s">
        <v>248</v>
      </c>
    </row>
    <row r="43143" spans="13:13" x14ac:dyDescent="0.25">
      <c r="M43143" t="s">
        <v>249</v>
      </c>
    </row>
    <row r="43144" spans="13:13" x14ac:dyDescent="0.25">
      <c r="M43144" t="s">
        <v>250</v>
      </c>
    </row>
    <row r="43145" spans="13:13" x14ac:dyDescent="0.25">
      <c r="M43145" t="s">
        <v>251</v>
      </c>
    </row>
    <row r="43146" spans="13:13" x14ac:dyDescent="0.25">
      <c r="M43146" t="s">
        <v>252</v>
      </c>
    </row>
    <row r="43147" spans="13:13" x14ac:dyDescent="0.25">
      <c r="M43147" t="s">
        <v>253</v>
      </c>
    </row>
    <row r="43157" spans="13:13" x14ac:dyDescent="0.25">
      <c r="M43157" t="s">
        <v>254</v>
      </c>
    </row>
    <row r="43158" spans="13:13" x14ac:dyDescent="0.25">
      <c r="M43158" t="s">
        <v>83</v>
      </c>
    </row>
    <row r="43172" spans="13:13" x14ac:dyDescent="0.25">
      <c r="M43172" t="s">
        <v>255</v>
      </c>
    </row>
    <row r="43173" spans="13:13" x14ac:dyDescent="0.25">
      <c r="M43173" t="s">
        <v>256</v>
      </c>
    </row>
    <row r="43174" spans="13:13" x14ac:dyDescent="0.25">
      <c r="M43174" t="s">
        <v>257</v>
      </c>
    </row>
    <row r="43175" spans="13:13" x14ac:dyDescent="0.25">
      <c r="M43175" t="s">
        <v>258</v>
      </c>
    </row>
    <row r="43176" spans="13:13" x14ac:dyDescent="0.25">
      <c r="M43176" t="s">
        <v>259</v>
      </c>
    </row>
    <row r="43177" spans="13:13" x14ac:dyDescent="0.25">
      <c r="M43177" t="s">
        <v>260</v>
      </c>
    </row>
    <row r="43178" spans="13:13" x14ac:dyDescent="0.25">
      <c r="M43178" t="s">
        <v>261</v>
      </c>
    </row>
    <row r="43179" spans="13:13" x14ac:dyDescent="0.25">
      <c r="M43179" t="s">
        <v>262</v>
      </c>
    </row>
    <row r="43180" spans="13:13" x14ac:dyDescent="0.25">
      <c r="M43180" t="s">
        <v>263</v>
      </c>
    </row>
    <row r="43231" spans="13:13" x14ac:dyDescent="0.25">
      <c r="M43231" t="s">
        <v>264</v>
      </c>
    </row>
    <row r="43232" spans="13:13" x14ac:dyDescent="0.25">
      <c r="M43232" t="s">
        <v>265</v>
      </c>
    </row>
    <row r="43233" spans="13:13" x14ac:dyDescent="0.25">
      <c r="M43233" t="s">
        <v>266</v>
      </c>
    </row>
    <row r="43282" spans="13:13" x14ac:dyDescent="0.25">
      <c r="M43282" t="s">
        <v>267</v>
      </c>
    </row>
    <row r="43283" spans="13:13" x14ac:dyDescent="0.25">
      <c r="M43283" t="s">
        <v>268</v>
      </c>
    </row>
    <row r="43284" spans="13:13" x14ac:dyDescent="0.25">
      <c r="M43284" t="s">
        <v>269</v>
      </c>
    </row>
    <row r="43285" spans="13:13" x14ac:dyDescent="0.25">
      <c r="M43285" t="s">
        <v>270</v>
      </c>
    </row>
    <row r="43286" spans="13:13" x14ac:dyDescent="0.25">
      <c r="M43286" t="s">
        <v>271</v>
      </c>
    </row>
    <row r="43287" spans="13:13" x14ac:dyDescent="0.25">
      <c r="M43287" t="s">
        <v>272</v>
      </c>
    </row>
    <row r="43308" spans="13:13" x14ac:dyDescent="0.25">
      <c r="M43308" t="s">
        <v>273</v>
      </c>
    </row>
    <row r="43309" spans="13:13" x14ac:dyDescent="0.25">
      <c r="M43309" t="s">
        <v>274</v>
      </c>
    </row>
    <row r="43312" spans="13:13" x14ac:dyDescent="0.25">
      <c r="M43312" t="s">
        <v>275</v>
      </c>
    </row>
    <row r="43313" spans="13:13" x14ac:dyDescent="0.25">
      <c r="M43313" t="s">
        <v>276</v>
      </c>
    </row>
    <row r="43314" spans="13:13" x14ac:dyDescent="0.25">
      <c r="M43314" t="s">
        <v>277</v>
      </c>
    </row>
    <row r="43319" spans="13:13" x14ac:dyDescent="0.25">
      <c r="M43319" t="s">
        <v>278</v>
      </c>
    </row>
    <row r="43320" spans="13:13" x14ac:dyDescent="0.25">
      <c r="M43320" t="s">
        <v>279</v>
      </c>
    </row>
    <row r="43336" spans="13:13" x14ac:dyDescent="0.25">
      <c r="M43336" t="s">
        <v>203</v>
      </c>
    </row>
    <row r="43337" spans="13:13" x14ac:dyDescent="0.25">
      <c r="M43337" t="s">
        <v>204</v>
      </c>
    </row>
    <row r="43338" spans="13:13" x14ac:dyDescent="0.25">
      <c r="M43338" t="s">
        <v>205</v>
      </c>
    </row>
    <row r="43339" spans="13:13" x14ac:dyDescent="0.25">
      <c r="M43339" t="s">
        <v>206</v>
      </c>
    </row>
    <row r="43340" spans="13:13" x14ac:dyDescent="0.25">
      <c r="M43340" t="s">
        <v>207</v>
      </c>
    </row>
    <row r="43341" spans="13:13" x14ac:dyDescent="0.25">
      <c r="M43341" t="s">
        <v>208</v>
      </c>
    </row>
    <row r="43342" spans="13:13" x14ac:dyDescent="0.25">
      <c r="M43342" t="s">
        <v>209</v>
      </c>
    </row>
    <row r="43343" spans="13:13" x14ac:dyDescent="0.25">
      <c r="M43343" t="s">
        <v>210</v>
      </c>
    </row>
    <row r="43363" spans="13:13" x14ac:dyDescent="0.25">
      <c r="M43363" t="s">
        <v>211</v>
      </c>
    </row>
    <row r="43364" spans="13:13" x14ac:dyDescent="0.25">
      <c r="M43364" t="s">
        <v>212</v>
      </c>
    </row>
    <row r="43365" spans="13:13" x14ac:dyDescent="0.25">
      <c r="M43365" t="s">
        <v>213</v>
      </c>
    </row>
    <row r="43366" spans="13:13" x14ac:dyDescent="0.25">
      <c r="M43366" t="s">
        <v>214</v>
      </c>
    </row>
    <row r="43367" spans="13:13" x14ac:dyDescent="0.25">
      <c r="M43367" t="s">
        <v>215</v>
      </c>
    </row>
    <row r="43368" spans="13:13" x14ac:dyDescent="0.25">
      <c r="M43368" t="s">
        <v>216</v>
      </c>
    </row>
    <row r="43369" spans="13:13" x14ac:dyDescent="0.25">
      <c r="M43369" t="s">
        <v>217</v>
      </c>
    </row>
    <row r="43370" spans="13:13" x14ac:dyDescent="0.25">
      <c r="M43370" t="s">
        <v>218</v>
      </c>
    </row>
    <row r="43371" spans="13:13" x14ac:dyDescent="0.25">
      <c r="M43371" t="s">
        <v>219</v>
      </c>
    </row>
    <row r="43372" spans="13:13" x14ac:dyDescent="0.25">
      <c r="M43372" t="s">
        <v>220</v>
      </c>
    </row>
    <row r="43376" spans="13:13" x14ac:dyDescent="0.25">
      <c r="M43376" t="s">
        <v>221</v>
      </c>
    </row>
    <row r="43377" spans="13:13" x14ac:dyDescent="0.25">
      <c r="M43377" t="s">
        <v>222</v>
      </c>
    </row>
    <row r="43378" spans="13:13" x14ac:dyDescent="0.25">
      <c r="M43378" t="s">
        <v>223</v>
      </c>
    </row>
    <row r="43379" spans="13:13" x14ac:dyDescent="0.25">
      <c r="M43379" t="s">
        <v>224</v>
      </c>
    </row>
    <row r="43380" spans="13:13" x14ac:dyDescent="0.25">
      <c r="M43380" t="s">
        <v>225</v>
      </c>
    </row>
    <row r="43381" spans="13:13" x14ac:dyDescent="0.25">
      <c r="M43381" t="s">
        <v>226</v>
      </c>
    </row>
    <row r="43382" spans="13:13" x14ac:dyDescent="0.25">
      <c r="M43382" t="s">
        <v>227</v>
      </c>
    </row>
    <row r="43383" spans="13:13" x14ac:dyDescent="0.25">
      <c r="M43383" t="s">
        <v>228</v>
      </c>
    </row>
    <row r="43384" spans="13:13" x14ac:dyDescent="0.25">
      <c r="M43384" t="s">
        <v>229</v>
      </c>
    </row>
    <row r="43385" spans="13:13" x14ac:dyDescent="0.25">
      <c r="M43385" t="s">
        <v>230</v>
      </c>
    </row>
    <row r="43386" spans="13:13" x14ac:dyDescent="0.25">
      <c r="M43386" t="s">
        <v>231</v>
      </c>
    </row>
    <row r="43387" spans="13:13" x14ac:dyDescent="0.25">
      <c r="M43387" t="s">
        <v>232</v>
      </c>
    </row>
    <row r="43388" spans="13:13" x14ac:dyDescent="0.25">
      <c r="M43388" t="s">
        <v>233</v>
      </c>
    </row>
    <row r="43389" spans="13:13" x14ac:dyDescent="0.25">
      <c r="M43389" t="s">
        <v>234</v>
      </c>
    </row>
    <row r="43390" spans="13:13" x14ac:dyDescent="0.25">
      <c r="M43390" t="s">
        <v>235</v>
      </c>
    </row>
    <row r="43391" spans="13:13" x14ac:dyDescent="0.25">
      <c r="M43391" t="s">
        <v>236</v>
      </c>
    </row>
    <row r="43392" spans="13:13" x14ac:dyDescent="0.25">
      <c r="M43392" t="s">
        <v>237</v>
      </c>
    </row>
    <row r="43393" spans="13:13" x14ac:dyDescent="0.25">
      <c r="M43393" t="s">
        <v>238</v>
      </c>
    </row>
    <row r="43394" spans="13:13" x14ac:dyDescent="0.25">
      <c r="M43394" t="s">
        <v>239</v>
      </c>
    </row>
    <row r="43395" spans="13:13" x14ac:dyDescent="0.25">
      <c r="M43395" t="s">
        <v>240</v>
      </c>
    </row>
    <row r="43396" spans="13:13" x14ac:dyDescent="0.25">
      <c r="M43396" t="s">
        <v>241</v>
      </c>
    </row>
    <row r="43397" spans="13:13" x14ac:dyDescent="0.25">
      <c r="M43397" t="s">
        <v>242</v>
      </c>
    </row>
    <row r="43398" spans="13:13" x14ac:dyDescent="0.25">
      <c r="M43398" t="s">
        <v>243</v>
      </c>
    </row>
    <row r="43399" spans="13:13" x14ac:dyDescent="0.25">
      <c r="M43399" t="s">
        <v>244</v>
      </c>
    </row>
    <row r="43400" spans="13:13" x14ac:dyDescent="0.25">
      <c r="M43400" t="s">
        <v>245</v>
      </c>
    </row>
    <row r="43401" spans="13:13" x14ac:dyDescent="0.25">
      <c r="M43401" t="s">
        <v>246</v>
      </c>
    </row>
    <row r="43402" spans="13:13" x14ac:dyDescent="0.25">
      <c r="M43402" t="s">
        <v>247</v>
      </c>
    </row>
    <row r="43403" spans="13:13" x14ac:dyDescent="0.25">
      <c r="M43403" t="s">
        <v>248</v>
      </c>
    </row>
    <row r="43404" spans="13:13" x14ac:dyDescent="0.25">
      <c r="M43404" t="s">
        <v>249</v>
      </c>
    </row>
    <row r="43405" spans="13:13" x14ac:dyDescent="0.25">
      <c r="M43405" t="s">
        <v>250</v>
      </c>
    </row>
    <row r="43406" spans="13:13" x14ac:dyDescent="0.25">
      <c r="M43406" t="s">
        <v>251</v>
      </c>
    </row>
    <row r="43407" spans="13:13" x14ac:dyDescent="0.25">
      <c r="M43407" t="s">
        <v>252</v>
      </c>
    </row>
    <row r="43408" spans="13:13" x14ac:dyDescent="0.25">
      <c r="M43408" t="s">
        <v>253</v>
      </c>
    </row>
    <row r="43418" spans="13:13" x14ac:dyDescent="0.25">
      <c r="M43418" t="s">
        <v>254</v>
      </c>
    </row>
    <row r="43419" spans="13:13" x14ac:dyDescent="0.25">
      <c r="M43419" t="s">
        <v>83</v>
      </c>
    </row>
    <row r="43433" spans="13:13" x14ac:dyDescent="0.25">
      <c r="M43433" t="s">
        <v>255</v>
      </c>
    </row>
    <row r="43434" spans="13:13" x14ac:dyDescent="0.25">
      <c r="M43434" t="s">
        <v>256</v>
      </c>
    </row>
    <row r="43435" spans="13:13" x14ac:dyDescent="0.25">
      <c r="M43435" t="s">
        <v>257</v>
      </c>
    </row>
    <row r="43436" spans="13:13" x14ac:dyDescent="0.25">
      <c r="M43436" t="s">
        <v>258</v>
      </c>
    </row>
    <row r="43437" spans="13:13" x14ac:dyDescent="0.25">
      <c r="M43437" t="s">
        <v>259</v>
      </c>
    </row>
    <row r="43438" spans="13:13" x14ac:dyDescent="0.25">
      <c r="M43438" t="s">
        <v>260</v>
      </c>
    </row>
    <row r="43439" spans="13:13" x14ac:dyDescent="0.25">
      <c r="M43439" t="s">
        <v>261</v>
      </c>
    </row>
    <row r="43440" spans="13:13" x14ac:dyDescent="0.25">
      <c r="M43440" t="s">
        <v>262</v>
      </c>
    </row>
    <row r="43441" spans="13:13" x14ac:dyDescent="0.25">
      <c r="M43441" t="s">
        <v>263</v>
      </c>
    </row>
    <row r="43492" spans="13:13" x14ac:dyDescent="0.25">
      <c r="M43492" t="s">
        <v>264</v>
      </c>
    </row>
    <row r="43493" spans="13:13" x14ac:dyDescent="0.25">
      <c r="M43493" t="s">
        <v>265</v>
      </c>
    </row>
    <row r="43494" spans="13:13" x14ac:dyDescent="0.25">
      <c r="M43494" t="s">
        <v>266</v>
      </c>
    </row>
    <row r="43543" spans="13:13" x14ac:dyDescent="0.25">
      <c r="M43543" t="s">
        <v>267</v>
      </c>
    </row>
    <row r="43544" spans="13:13" x14ac:dyDescent="0.25">
      <c r="M43544" t="s">
        <v>268</v>
      </c>
    </row>
    <row r="43545" spans="13:13" x14ac:dyDescent="0.25">
      <c r="M43545" t="s">
        <v>269</v>
      </c>
    </row>
    <row r="43546" spans="13:13" x14ac:dyDescent="0.25">
      <c r="M43546" t="s">
        <v>270</v>
      </c>
    </row>
    <row r="43547" spans="13:13" x14ac:dyDescent="0.25">
      <c r="M43547" t="s">
        <v>271</v>
      </c>
    </row>
    <row r="43548" spans="13:13" x14ac:dyDescent="0.25">
      <c r="M43548" t="s">
        <v>272</v>
      </c>
    </row>
    <row r="43569" spans="13:13" x14ac:dyDescent="0.25">
      <c r="M43569" t="s">
        <v>273</v>
      </c>
    </row>
    <row r="43570" spans="13:13" x14ac:dyDescent="0.25">
      <c r="M43570" t="s">
        <v>274</v>
      </c>
    </row>
    <row r="43573" spans="13:13" x14ac:dyDescent="0.25">
      <c r="M43573" t="s">
        <v>275</v>
      </c>
    </row>
    <row r="43574" spans="13:13" x14ac:dyDescent="0.25">
      <c r="M43574" t="s">
        <v>276</v>
      </c>
    </row>
    <row r="43575" spans="13:13" x14ac:dyDescent="0.25">
      <c r="M43575" t="s">
        <v>277</v>
      </c>
    </row>
    <row r="43580" spans="13:13" x14ac:dyDescent="0.25">
      <c r="M43580" t="s">
        <v>278</v>
      </c>
    </row>
    <row r="43581" spans="13:13" x14ac:dyDescent="0.25">
      <c r="M43581" t="s">
        <v>279</v>
      </c>
    </row>
    <row r="43597" spans="13:13" x14ac:dyDescent="0.25">
      <c r="M43597" t="s">
        <v>203</v>
      </c>
    </row>
    <row r="43598" spans="13:13" x14ac:dyDescent="0.25">
      <c r="M43598" t="s">
        <v>204</v>
      </c>
    </row>
    <row r="43599" spans="13:13" x14ac:dyDescent="0.25">
      <c r="M43599" t="s">
        <v>205</v>
      </c>
    </row>
    <row r="43600" spans="13:13" x14ac:dyDescent="0.25">
      <c r="M43600" t="s">
        <v>206</v>
      </c>
    </row>
    <row r="43601" spans="13:13" x14ac:dyDescent="0.25">
      <c r="M43601" t="s">
        <v>207</v>
      </c>
    </row>
    <row r="43602" spans="13:13" x14ac:dyDescent="0.25">
      <c r="M43602" t="s">
        <v>208</v>
      </c>
    </row>
    <row r="43603" spans="13:13" x14ac:dyDescent="0.25">
      <c r="M43603" t="s">
        <v>209</v>
      </c>
    </row>
    <row r="43604" spans="13:13" x14ac:dyDescent="0.25">
      <c r="M43604" t="s">
        <v>210</v>
      </c>
    </row>
    <row r="43624" spans="13:13" x14ac:dyDescent="0.25">
      <c r="M43624" t="s">
        <v>211</v>
      </c>
    </row>
    <row r="43625" spans="13:13" x14ac:dyDescent="0.25">
      <c r="M43625" t="s">
        <v>212</v>
      </c>
    </row>
    <row r="43626" spans="13:13" x14ac:dyDescent="0.25">
      <c r="M43626" t="s">
        <v>213</v>
      </c>
    </row>
    <row r="43627" spans="13:13" x14ac:dyDescent="0.25">
      <c r="M43627" t="s">
        <v>214</v>
      </c>
    </row>
    <row r="43628" spans="13:13" x14ac:dyDescent="0.25">
      <c r="M43628" t="s">
        <v>215</v>
      </c>
    </row>
    <row r="43629" spans="13:13" x14ac:dyDescent="0.25">
      <c r="M43629" t="s">
        <v>216</v>
      </c>
    </row>
    <row r="43630" spans="13:13" x14ac:dyDescent="0.25">
      <c r="M43630" t="s">
        <v>217</v>
      </c>
    </row>
    <row r="43631" spans="13:13" x14ac:dyDescent="0.25">
      <c r="M43631" t="s">
        <v>218</v>
      </c>
    </row>
    <row r="43632" spans="13:13" x14ac:dyDescent="0.25">
      <c r="M43632" t="s">
        <v>219</v>
      </c>
    </row>
    <row r="43633" spans="13:13" x14ac:dyDescent="0.25">
      <c r="M43633" t="s">
        <v>220</v>
      </c>
    </row>
    <row r="43637" spans="13:13" x14ac:dyDescent="0.25">
      <c r="M43637" t="s">
        <v>221</v>
      </c>
    </row>
    <row r="43638" spans="13:13" x14ac:dyDescent="0.25">
      <c r="M43638" t="s">
        <v>222</v>
      </c>
    </row>
    <row r="43639" spans="13:13" x14ac:dyDescent="0.25">
      <c r="M43639" t="s">
        <v>223</v>
      </c>
    </row>
    <row r="43640" spans="13:13" x14ac:dyDescent="0.25">
      <c r="M43640" t="s">
        <v>224</v>
      </c>
    </row>
    <row r="43641" spans="13:13" x14ac:dyDescent="0.25">
      <c r="M43641" t="s">
        <v>225</v>
      </c>
    </row>
    <row r="43642" spans="13:13" x14ac:dyDescent="0.25">
      <c r="M43642" t="s">
        <v>226</v>
      </c>
    </row>
    <row r="43643" spans="13:13" x14ac:dyDescent="0.25">
      <c r="M43643" t="s">
        <v>227</v>
      </c>
    </row>
    <row r="43644" spans="13:13" x14ac:dyDescent="0.25">
      <c r="M43644" t="s">
        <v>228</v>
      </c>
    </row>
    <row r="43645" spans="13:13" x14ac:dyDescent="0.25">
      <c r="M43645" t="s">
        <v>229</v>
      </c>
    </row>
    <row r="43646" spans="13:13" x14ac:dyDescent="0.25">
      <c r="M43646" t="s">
        <v>230</v>
      </c>
    </row>
    <row r="43647" spans="13:13" x14ac:dyDescent="0.25">
      <c r="M43647" t="s">
        <v>231</v>
      </c>
    </row>
    <row r="43648" spans="13:13" x14ac:dyDescent="0.25">
      <c r="M43648" t="s">
        <v>232</v>
      </c>
    </row>
    <row r="43649" spans="13:13" x14ac:dyDescent="0.25">
      <c r="M43649" t="s">
        <v>233</v>
      </c>
    </row>
    <row r="43650" spans="13:13" x14ac:dyDescent="0.25">
      <c r="M43650" t="s">
        <v>234</v>
      </c>
    </row>
    <row r="43651" spans="13:13" x14ac:dyDescent="0.25">
      <c r="M43651" t="s">
        <v>235</v>
      </c>
    </row>
    <row r="43652" spans="13:13" x14ac:dyDescent="0.25">
      <c r="M43652" t="s">
        <v>236</v>
      </c>
    </row>
    <row r="43653" spans="13:13" x14ac:dyDescent="0.25">
      <c r="M43653" t="s">
        <v>237</v>
      </c>
    </row>
    <row r="43654" spans="13:13" x14ac:dyDescent="0.25">
      <c r="M43654" t="s">
        <v>238</v>
      </c>
    </row>
    <row r="43655" spans="13:13" x14ac:dyDescent="0.25">
      <c r="M43655" t="s">
        <v>239</v>
      </c>
    </row>
    <row r="43656" spans="13:13" x14ac:dyDescent="0.25">
      <c r="M43656" t="s">
        <v>240</v>
      </c>
    </row>
    <row r="43657" spans="13:13" x14ac:dyDescent="0.25">
      <c r="M43657" t="s">
        <v>241</v>
      </c>
    </row>
    <row r="43658" spans="13:13" x14ac:dyDescent="0.25">
      <c r="M43658" t="s">
        <v>242</v>
      </c>
    </row>
    <row r="43659" spans="13:13" x14ac:dyDescent="0.25">
      <c r="M43659" t="s">
        <v>243</v>
      </c>
    </row>
    <row r="43660" spans="13:13" x14ac:dyDescent="0.25">
      <c r="M43660" t="s">
        <v>244</v>
      </c>
    </row>
    <row r="43661" spans="13:13" x14ac:dyDescent="0.25">
      <c r="M43661" t="s">
        <v>245</v>
      </c>
    </row>
    <row r="43662" spans="13:13" x14ac:dyDescent="0.25">
      <c r="M43662" t="s">
        <v>246</v>
      </c>
    </row>
    <row r="43663" spans="13:13" x14ac:dyDescent="0.25">
      <c r="M43663" t="s">
        <v>247</v>
      </c>
    </row>
    <row r="43664" spans="13:13" x14ac:dyDescent="0.25">
      <c r="M43664" t="s">
        <v>248</v>
      </c>
    </row>
    <row r="43665" spans="13:13" x14ac:dyDescent="0.25">
      <c r="M43665" t="s">
        <v>249</v>
      </c>
    </row>
    <row r="43666" spans="13:13" x14ac:dyDescent="0.25">
      <c r="M43666" t="s">
        <v>250</v>
      </c>
    </row>
    <row r="43667" spans="13:13" x14ac:dyDescent="0.25">
      <c r="M43667" t="s">
        <v>251</v>
      </c>
    </row>
    <row r="43668" spans="13:13" x14ac:dyDescent="0.25">
      <c r="M43668" t="s">
        <v>252</v>
      </c>
    </row>
    <row r="43669" spans="13:13" x14ac:dyDescent="0.25">
      <c r="M43669" t="s">
        <v>253</v>
      </c>
    </row>
    <row r="43679" spans="13:13" x14ac:dyDescent="0.25">
      <c r="M43679" t="s">
        <v>254</v>
      </c>
    </row>
    <row r="43680" spans="13:13" x14ac:dyDescent="0.25">
      <c r="M43680" t="s">
        <v>83</v>
      </c>
    </row>
    <row r="43694" spans="13:13" x14ac:dyDescent="0.25">
      <c r="M43694" t="s">
        <v>255</v>
      </c>
    </row>
    <row r="43695" spans="13:13" x14ac:dyDescent="0.25">
      <c r="M43695" t="s">
        <v>256</v>
      </c>
    </row>
    <row r="43696" spans="13:13" x14ac:dyDescent="0.25">
      <c r="M43696" t="s">
        <v>257</v>
      </c>
    </row>
    <row r="43697" spans="13:13" x14ac:dyDescent="0.25">
      <c r="M43697" t="s">
        <v>258</v>
      </c>
    </row>
    <row r="43698" spans="13:13" x14ac:dyDescent="0.25">
      <c r="M43698" t="s">
        <v>259</v>
      </c>
    </row>
    <row r="43699" spans="13:13" x14ac:dyDescent="0.25">
      <c r="M43699" t="s">
        <v>260</v>
      </c>
    </row>
    <row r="43700" spans="13:13" x14ac:dyDescent="0.25">
      <c r="M43700" t="s">
        <v>261</v>
      </c>
    </row>
    <row r="43701" spans="13:13" x14ac:dyDescent="0.25">
      <c r="M43701" t="s">
        <v>262</v>
      </c>
    </row>
    <row r="43702" spans="13:13" x14ac:dyDescent="0.25">
      <c r="M43702" t="s">
        <v>263</v>
      </c>
    </row>
    <row r="43753" spans="13:13" x14ac:dyDescent="0.25">
      <c r="M43753" t="s">
        <v>264</v>
      </c>
    </row>
    <row r="43754" spans="13:13" x14ac:dyDescent="0.25">
      <c r="M43754" t="s">
        <v>265</v>
      </c>
    </row>
    <row r="43755" spans="13:13" x14ac:dyDescent="0.25">
      <c r="M43755" t="s">
        <v>266</v>
      </c>
    </row>
    <row r="43804" spans="13:13" x14ac:dyDescent="0.25">
      <c r="M43804" t="s">
        <v>267</v>
      </c>
    </row>
    <row r="43805" spans="13:13" x14ac:dyDescent="0.25">
      <c r="M43805" t="s">
        <v>268</v>
      </c>
    </row>
    <row r="43806" spans="13:13" x14ac:dyDescent="0.25">
      <c r="M43806" t="s">
        <v>269</v>
      </c>
    </row>
    <row r="43807" spans="13:13" x14ac:dyDescent="0.25">
      <c r="M43807" t="s">
        <v>270</v>
      </c>
    </row>
    <row r="43808" spans="13:13" x14ac:dyDescent="0.25">
      <c r="M43808" t="s">
        <v>271</v>
      </c>
    </row>
    <row r="43809" spans="13:13" x14ac:dyDescent="0.25">
      <c r="M43809" t="s">
        <v>272</v>
      </c>
    </row>
    <row r="43830" spans="13:13" x14ac:dyDescent="0.25">
      <c r="M43830" t="s">
        <v>273</v>
      </c>
    </row>
    <row r="43831" spans="13:13" x14ac:dyDescent="0.25">
      <c r="M43831" t="s">
        <v>274</v>
      </c>
    </row>
    <row r="43834" spans="13:13" x14ac:dyDescent="0.25">
      <c r="M43834" t="s">
        <v>275</v>
      </c>
    </row>
    <row r="43835" spans="13:13" x14ac:dyDescent="0.25">
      <c r="M43835" t="s">
        <v>276</v>
      </c>
    </row>
    <row r="43836" spans="13:13" x14ac:dyDescent="0.25">
      <c r="M43836" t="s">
        <v>277</v>
      </c>
    </row>
    <row r="43841" spans="13:13" x14ac:dyDescent="0.25">
      <c r="M43841" t="s">
        <v>278</v>
      </c>
    </row>
    <row r="43842" spans="13:13" x14ac:dyDescent="0.25">
      <c r="M43842" t="s">
        <v>279</v>
      </c>
    </row>
    <row r="43858" spans="13:13" x14ac:dyDescent="0.25">
      <c r="M43858" t="s">
        <v>203</v>
      </c>
    </row>
    <row r="43859" spans="13:13" x14ac:dyDescent="0.25">
      <c r="M43859" t="s">
        <v>204</v>
      </c>
    </row>
    <row r="43860" spans="13:13" x14ac:dyDescent="0.25">
      <c r="M43860" t="s">
        <v>205</v>
      </c>
    </row>
    <row r="43861" spans="13:13" x14ac:dyDescent="0.25">
      <c r="M43861" t="s">
        <v>206</v>
      </c>
    </row>
    <row r="43862" spans="13:13" x14ac:dyDescent="0.25">
      <c r="M43862" t="s">
        <v>207</v>
      </c>
    </row>
    <row r="43863" spans="13:13" x14ac:dyDescent="0.25">
      <c r="M43863" t="s">
        <v>208</v>
      </c>
    </row>
    <row r="43864" spans="13:13" x14ac:dyDescent="0.25">
      <c r="M43864" t="s">
        <v>209</v>
      </c>
    </row>
    <row r="43865" spans="13:13" x14ac:dyDescent="0.25">
      <c r="M43865" t="s">
        <v>210</v>
      </c>
    </row>
    <row r="43885" spans="13:13" x14ac:dyDescent="0.25">
      <c r="M43885" t="s">
        <v>211</v>
      </c>
    </row>
    <row r="43886" spans="13:13" x14ac:dyDescent="0.25">
      <c r="M43886" t="s">
        <v>212</v>
      </c>
    </row>
    <row r="43887" spans="13:13" x14ac:dyDescent="0.25">
      <c r="M43887" t="s">
        <v>213</v>
      </c>
    </row>
    <row r="43888" spans="13:13" x14ac:dyDescent="0.25">
      <c r="M43888" t="s">
        <v>214</v>
      </c>
    </row>
    <row r="43889" spans="13:13" x14ac:dyDescent="0.25">
      <c r="M43889" t="s">
        <v>215</v>
      </c>
    </row>
    <row r="43890" spans="13:13" x14ac:dyDescent="0.25">
      <c r="M43890" t="s">
        <v>216</v>
      </c>
    </row>
    <row r="43891" spans="13:13" x14ac:dyDescent="0.25">
      <c r="M43891" t="s">
        <v>217</v>
      </c>
    </row>
    <row r="43892" spans="13:13" x14ac:dyDescent="0.25">
      <c r="M43892" t="s">
        <v>218</v>
      </c>
    </row>
    <row r="43893" spans="13:13" x14ac:dyDescent="0.25">
      <c r="M43893" t="s">
        <v>219</v>
      </c>
    </row>
    <row r="43894" spans="13:13" x14ac:dyDescent="0.25">
      <c r="M43894" t="s">
        <v>220</v>
      </c>
    </row>
    <row r="43898" spans="13:13" x14ac:dyDescent="0.25">
      <c r="M43898" t="s">
        <v>221</v>
      </c>
    </row>
    <row r="43899" spans="13:13" x14ac:dyDescent="0.25">
      <c r="M43899" t="s">
        <v>222</v>
      </c>
    </row>
    <row r="43900" spans="13:13" x14ac:dyDescent="0.25">
      <c r="M43900" t="s">
        <v>223</v>
      </c>
    </row>
    <row r="43901" spans="13:13" x14ac:dyDescent="0.25">
      <c r="M43901" t="s">
        <v>224</v>
      </c>
    </row>
    <row r="43902" spans="13:13" x14ac:dyDescent="0.25">
      <c r="M43902" t="s">
        <v>225</v>
      </c>
    </row>
    <row r="43903" spans="13:13" x14ac:dyDescent="0.25">
      <c r="M43903" t="s">
        <v>226</v>
      </c>
    </row>
    <row r="43904" spans="13:13" x14ac:dyDescent="0.25">
      <c r="M43904" t="s">
        <v>227</v>
      </c>
    </row>
    <row r="43905" spans="13:13" x14ac:dyDescent="0.25">
      <c r="M43905" t="s">
        <v>228</v>
      </c>
    </row>
    <row r="43906" spans="13:13" x14ac:dyDescent="0.25">
      <c r="M43906" t="s">
        <v>229</v>
      </c>
    </row>
    <row r="43907" spans="13:13" x14ac:dyDescent="0.25">
      <c r="M43907" t="s">
        <v>230</v>
      </c>
    </row>
    <row r="43908" spans="13:13" x14ac:dyDescent="0.25">
      <c r="M43908" t="s">
        <v>231</v>
      </c>
    </row>
    <row r="43909" spans="13:13" x14ac:dyDescent="0.25">
      <c r="M43909" t="s">
        <v>232</v>
      </c>
    </row>
    <row r="43910" spans="13:13" x14ac:dyDescent="0.25">
      <c r="M43910" t="s">
        <v>233</v>
      </c>
    </row>
    <row r="43911" spans="13:13" x14ac:dyDescent="0.25">
      <c r="M43911" t="s">
        <v>234</v>
      </c>
    </row>
    <row r="43912" spans="13:13" x14ac:dyDescent="0.25">
      <c r="M43912" t="s">
        <v>235</v>
      </c>
    </row>
    <row r="43913" spans="13:13" x14ac:dyDescent="0.25">
      <c r="M43913" t="s">
        <v>236</v>
      </c>
    </row>
    <row r="43914" spans="13:13" x14ac:dyDescent="0.25">
      <c r="M43914" t="s">
        <v>237</v>
      </c>
    </row>
    <row r="43915" spans="13:13" x14ac:dyDescent="0.25">
      <c r="M43915" t="s">
        <v>238</v>
      </c>
    </row>
    <row r="43916" spans="13:13" x14ac:dyDescent="0.25">
      <c r="M43916" t="s">
        <v>239</v>
      </c>
    </row>
    <row r="43917" spans="13:13" x14ac:dyDescent="0.25">
      <c r="M43917" t="s">
        <v>240</v>
      </c>
    </row>
    <row r="43918" spans="13:13" x14ac:dyDescent="0.25">
      <c r="M43918" t="s">
        <v>241</v>
      </c>
    </row>
    <row r="43919" spans="13:13" x14ac:dyDescent="0.25">
      <c r="M43919" t="s">
        <v>242</v>
      </c>
    </row>
    <row r="43920" spans="13:13" x14ac:dyDescent="0.25">
      <c r="M43920" t="s">
        <v>243</v>
      </c>
    </row>
    <row r="43921" spans="13:13" x14ac:dyDescent="0.25">
      <c r="M43921" t="s">
        <v>244</v>
      </c>
    </row>
    <row r="43922" spans="13:13" x14ac:dyDescent="0.25">
      <c r="M43922" t="s">
        <v>245</v>
      </c>
    </row>
    <row r="43923" spans="13:13" x14ac:dyDescent="0.25">
      <c r="M43923" t="s">
        <v>246</v>
      </c>
    </row>
    <row r="43924" spans="13:13" x14ac:dyDescent="0.25">
      <c r="M43924" t="s">
        <v>247</v>
      </c>
    </row>
    <row r="43925" spans="13:13" x14ac:dyDescent="0.25">
      <c r="M43925" t="s">
        <v>248</v>
      </c>
    </row>
    <row r="43926" spans="13:13" x14ac:dyDescent="0.25">
      <c r="M43926" t="s">
        <v>249</v>
      </c>
    </row>
    <row r="43927" spans="13:13" x14ac:dyDescent="0.25">
      <c r="M43927" t="s">
        <v>250</v>
      </c>
    </row>
    <row r="43928" spans="13:13" x14ac:dyDescent="0.25">
      <c r="M43928" t="s">
        <v>251</v>
      </c>
    </row>
    <row r="43929" spans="13:13" x14ac:dyDescent="0.25">
      <c r="M43929" t="s">
        <v>252</v>
      </c>
    </row>
    <row r="43930" spans="13:13" x14ac:dyDescent="0.25">
      <c r="M43930" t="s">
        <v>253</v>
      </c>
    </row>
    <row r="43940" spans="13:13" x14ac:dyDescent="0.25">
      <c r="M43940" t="s">
        <v>254</v>
      </c>
    </row>
    <row r="43941" spans="13:13" x14ac:dyDescent="0.25">
      <c r="M43941" t="s">
        <v>83</v>
      </c>
    </row>
    <row r="43955" spans="13:13" x14ac:dyDescent="0.25">
      <c r="M43955" t="s">
        <v>255</v>
      </c>
    </row>
    <row r="43956" spans="13:13" x14ac:dyDescent="0.25">
      <c r="M43956" t="s">
        <v>256</v>
      </c>
    </row>
    <row r="43957" spans="13:13" x14ac:dyDescent="0.25">
      <c r="M43957" t="s">
        <v>257</v>
      </c>
    </row>
    <row r="43958" spans="13:13" x14ac:dyDescent="0.25">
      <c r="M43958" t="s">
        <v>258</v>
      </c>
    </row>
    <row r="43959" spans="13:13" x14ac:dyDescent="0.25">
      <c r="M43959" t="s">
        <v>259</v>
      </c>
    </row>
    <row r="43960" spans="13:13" x14ac:dyDescent="0.25">
      <c r="M43960" t="s">
        <v>260</v>
      </c>
    </row>
    <row r="43961" spans="13:13" x14ac:dyDescent="0.25">
      <c r="M43961" t="s">
        <v>261</v>
      </c>
    </row>
    <row r="43962" spans="13:13" x14ac:dyDescent="0.25">
      <c r="M43962" t="s">
        <v>262</v>
      </c>
    </row>
    <row r="43963" spans="13:13" x14ac:dyDescent="0.25">
      <c r="M43963" t="s">
        <v>263</v>
      </c>
    </row>
    <row r="44014" spans="13:13" x14ac:dyDescent="0.25">
      <c r="M44014" t="s">
        <v>264</v>
      </c>
    </row>
    <row r="44015" spans="13:13" x14ac:dyDescent="0.25">
      <c r="M44015" t="s">
        <v>265</v>
      </c>
    </row>
    <row r="44016" spans="13:13" x14ac:dyDescent="0.25">
      <c r="M44016" t="s">
        <v>266</v>
      </c>
    </row>
    <row r="44065" spans="13:13" x14ac:dyDescent="0.25">
      <c r="M44065" t="s">
        <v>267</v>
      </c>
    </row>
    <row r="44066" spans="13:13" x14ac:dyDescent="0.25">
      <c r="M44066" t="s">
        <v>268</v>
      </c>
    </row>
    <row r="44067" spans="13:13" x14ac:dyDescent="0.25">
      <c r="M44067" t="s">
        <v>269</v>
      </c>
    </row>
    <row r="44068" spans="13:13" x14ac:dyDescent="0.25">
      <c r="M44068" t="s">
        <v>270</v>
      </c>
    </row>
    <row r="44069" spans="13:13" x14ac:dyDescent="0.25">
      <c r="M44069" t="s">
        <v>271</v>
      </c>
    </row>
    <row r="44070" spans="13:13" x14ac:dyDescent="0.25">
      <c r="M44070" t="s">
        <v>272</v>
      </c>
    </row>
    <row r="44091" spans="13:13" x14ac:dyDescent="0.25">
      <c r="M44091" t="s">
        <v>273</v>
      </c>
    </row>
    <row r="44092" spans="13:13" x14ac:dyDescent="0.25">
      <c r="M44092" t="s">
        <v>274</v>
      </c>
    </row>
    <row r="44095" spans="13:13" x14ac:dyDescent="0.25">
      <c r="M44095" t="s">
        <v>275</v>
      </c>
    </row>
    <row r="44096" spans="13:13" x14ac:dyDescent="0.25">
      <c r="M44096" t="s">
        <v>276</v>
      </c>
    </row>
    <row r="44097" spans="13:13" x14ac:dyDescent="0.25">
      <c r="M44097" t="s">
        <v>277</v>
      </c>
    </row>
    <row r="44102" spans="13:13" x14ac:dyDescent="0.25">
      <c r="M44102" t="s">
        <v>278</v>
      </c>
    </row>
    <row r="44103" spans="13:13" x14ac:dyDescent="0.25">
      <c r="M44103" t="s">
        <v>279</v>
      </c>
    </row>
    <row r="44119" spans="13:13" x14ac:dyDescent="0.25">
      <c r="M44119" t="s">
        <v>203</v>
      </c>
    </row>
    <row r="44120" spans="13:13" x14ac:dyDescent="0.25">
      <c r="M44120" t="s">
        <v>204</v>
      </c>
    </row>
    <row r="44121" spans="13:13" x14ac:dyDescent="0.25">
      <c r="M44121" t="s">
        <v>205</v>
      </c>
    </row>
    <row r="44122" spans="13:13" x14ac:dyDescent="0.25">
      <c r="M44122" t="s">
        <v>206</v>
      </c>
    </row>
    <row r="44123" spans="13:13" x14ac:dyDescent="0.25">
      <c r="M44123" t="s">
        <v>207</v>
      </c>
    </row>
    <row r="44124" spans="13:13" x14ac:dyDescent="0.25">
      <c r="M44124" t="s">
        <v>208</v>
      </c>
    </row>
    <row r="44125" spans="13:13" x14ac:dyDescent="0.25">
      <c r="M44125" t="s">
        <v>209</v>
      </c>
    </row>
    <row r="44126" spans="13:13" x14ac:dyDescent="0.25">
      <c r="M44126" t="s">
        <v>210</v>
      </c>
    </row>
    <row r="44146" spans="13:13" x14ac:dyDescent="0.25">
      <c r="M44146" t="s">
        <v>211</v>
      </c>
    </row>
    <row r="44147" spans="13:13" x14ac:dyDescent="0.25">
      <c r="M44147" t="s">
        <v>212</v>
      </c>
    </row>
    <row r="44148" spans="13:13" x14ac:dyDescent="0.25">
      <c r="M44148" t="s">
        <v>213</v>
      </c>
    </row>
    <row r="44149" spans="13:13" x14ac:dyDescent="0.25">
      <c r="M44149" t="s">
        <v>214</v>
      </c>
    </row>
    <row r="44150" spans="13:13" x14ac:dyDescent="0.25">
      <c r="M44150" t="s">
        <v>215</v>
      </c>
    </row>
    <row r="44151" spans="13:13" x14ac:dyDescent="0.25">
      <c r="M44151" t="s">
        <v>216</v>
      </c>
    </row>
    <row r="44152" spans="13:13" x14ac:dyDescent="0.25">
      <c r="M44152" t="s">
        <v>217</v>
      </c>
    </row>
    <row r="44153" spans="13:13" x14ac:dyDescent="0.25">
      <c r="M44153" t="s">
        <v>218</v>
      </c>
    </row>
    <row r="44154" spans="13:13" x14ac:dyDescent="0.25">
      <c r="M44154" t="s">
        <v>219</v>
      </c>
    </row>
    <row r="44155" spans="13:13" x14ac:dyDescent="0.25">
      <c r="M44155" t="s">
        <v>220</v>
      </c>
    </row>
    <row r="44159" spans="13:13" x14ac:dyDescent="0.25">
      <c r="M44159" t="s">
        <v>221</v>
      </c>
    </row>
    <row r="44160" spans="13:13" x14ac:dyDescent="0.25">
      <c r="M44160" t="s">
        <v>222</v>
      </c>
    </row>
    <row r="44161" spans="13:13" x14ac:dyDescent="0.25">
      <c r="M44161" t="s">
        <v>223</v>
      </c>
    </row>
    <row r="44162" spans="13:13" x14ac:dyDescent="0.25">
      <c r="M44162" t="s">
        <v>224</v>
      </c>
    </row>
    <row r="44163" spans="13:13" x14ac:dyDescent="0.25">
      <c r="M44163" t="s">
        <v>225</v>
      </c>
    </row>
    <row r="44164" spans="13:13" x14ac:dyDescent="0.25">
      <c r="M44164" t="s">
        <v>226</v>
      </c>
    </row>
    <row r="44165" spans="13:13" x14ac:dyDescent="0.25">
      <c r="M44165" t="s">
        <v>227</v>
      </c>
    </row>
    <row r="44166" spans="13:13" x14ac:dyDescent="0.25">
      <c r="M44166" t="s">
        <v>228</v>
      </c>
    </row>
    <row r="44167" spans="13:13" x14ac:dyDescent="0.25">
      <c r="M44167" t="s">
        <v>229</v>
      </c>
    </row>
    <row r="44168" spans="13:13" x14ac:dyDescent="0.25">
      <c r="M44168" t="s">
        <v>230</v>
      </c>
    </row>
    <row r="44169" spans="13:13" x14ac:dyDescent="0.25">
      <c r="M44169" t="s">
        <v>231</v>
      </c>
    </row>
    <row r="44170" spans="13:13" x14ac:dyDescent="0.25">
      <c r="M44170" t="s">
        <v>232</v>
      </c>
    </row>
    <row r="44171" spans="13:13" x14ac:dyDescent="0.25">
      <c r="M44171" t="s">
        <v>233</v>
      </c>
    </row>
    <row r="44172" spans="13:13" x14ac:dyDescent="0.25">
      <c r="M44172" t="s">
        <v>234</v>
      </c>
    </row>
    <row r="44173" spans="13:13" x14ac:dyDescent="0.25">
      <c r="M44173" t="s">
        <v>235</v>
      </c>
    </row>
    <row r="44174" spans="13:13" x14ac:dyDescent="0.25">
      <c r="M44174" t="s">
        <v>236</v>
      </c>
    </row>
    <row r="44175" spans="13:13" x14ac:dyDescent="0.25">
      <c r="M44175" t="s">
        <v>237</v>
      </c>
    </row>
    <row r="44176" spans="13:13" x14ac:dyDescent="0.25">
      <c r="M44176" t="s">
        <v>238</v>
      </c>
    </row>
    <row r="44177" spans="13:13" x14ac:dyDescent="0.25">
      <c r="M44177" t="s">
        <v>239</v>
      </c>
    </row>
    <row r="44178" spans="13:13" x14ac:dyDescent="0.25">
      <c r="M44178" t="s">
        <v>240</v>
      </c>
    </row>
    <row r="44179" spans="13:13" x14ac:dyDescent="0.25">
      <c r="M44179" t="s">
        <v>241</v>
      </c>
    </row>
    <row r="44180" spans="13:13" x14ac:dyDescent="0.25">
      <c r="M44180" t="s">
        <v>242</v>
      </c>
    </row>
    <row r="44181" spans="13:13" x14ac:dyDescent="0.25">
      <c r="M44181" t="s">
        <v>243</v>
      </c>
    </row>
    <row r="44182" spans="13:13" x14ac:dyDescent="0.25">
      <c r="M44182" t="s">
        <v>244</v>
      </c>
    </row>
    <row r="44183" spans="13:13" x14ac:dyDescent="0.25">
      <c r="M44183" t="s">
        <v>245</v>
      </c>
    </row>
    <row r="44184" spans="13:13" x14ac:dyDescent="0.25">
      <c r="M44184" t="s">
        <v>246</v>
      </c>
    </row>
    <row r="44185" spans="13:13" x14ac:dyDescent="0.25">
      <c r="M44185" t="s">
        <v>247</v>
      </c>
    </row>
    <row r="44186" spans="13:13" x14ac:dyDescent="0.25">
      <c r="M44186" t="s">
        <v>248</v>
      </c>
    </row>
    <row r="44187" spans="13:13" x14ac:dyDescent="0.25">
      <c r="M44187" t="s">
        <v>249</v>
      </c>
    </row>
    <row r="44188" spans="13:13" x14ac:dyDescent="0.25">
      <c r="M44188" t="s">
        <v>250</v>
      </c>
    </row>
    <row r="44189" spans="13:13" x14ac:dyDescent="0.25">
      <c r="M44189" t="s">
        <v>251</v>
      </c>
    </row>
    <row r="44190" spans="13:13" x14ac:dyDescent="0.25">
      <c r="M44190" t="s">
        <v>252</v>
      </c>
    </row>
    <row r="44191" spans="13:13" x14ac:dyDescent="0.25">
      <c r="M44191" t="s">
        <v>253</v>
      </c>
    </row>
    <row r="44201" spans="13:13" x14ac:dyDescent="0.25">
      <c r="M44201" t="s">
        <v>254</v>
      </c>
    </row>
    <row r="44202" spans="13:13" x14ac:dyDescent="0.25">
      <c r="M44202" t="s">
        <v>83</v>
      </c>
    </row>
    <row r="44216" spans="13:13" x14ac:dyDescent="0.25">
      <c r="M44216" t="s">
        <v>255</v>
      </c>
    </row>
    <row r="44217" spans="13:13" x14ac:dyDescent="0.25">
      <c r="M44217" t="s">
        <v>256</v>
      </c>
    </row>
    <row r="44218" spans="13:13" x14ac:dyDescent="0.25">
      <c r="M44218" t="s">
        <v>257</v>
      </c>
    </row>
    <row r="44219" spans="13:13" x14ac:dyDescent="0.25">
      <c r="M44219" t="s">
        <v>258</v>
      </c>
    </row>
    <row r="44220" spans="13:13" x14ac:dyDescent="0.25">
      <c r="M44220" t="s">
        <v>259</v>
      </c>
    </row>
    <row r="44221" spans="13:13" x14ac:dyDescent="0.25">
      <c r="M44221" t="s">
        <v>260</v>
      </c>
    </row>
    <row r="44222" spans="13:13" x14ac:dyDescent="0.25">
      <c r="M44222" t="s">
        <v>261</v>
      </c>
    </row>
    <row r="44223" spans="13:13" x14ac:dyDescent="0.25">
      <c r="M44223" t="s">
        <v>262</v>
      </c>
    </row>
    <row r="44224" spans="13:13" x14ac:dyDescent="0.25">
      <c r="M44224" t="s">
        <v>263</v>
      </c>
    </row>
    <row r="44275" spans="13:13" x14ac:dyDescent="0.25">
      <c r="M44275" t="s">
        <v>264</v>
      </c>
    </row>
    <row r="44276" spans="13:13" x14ac:dyDescent="0.25">
      <c r="M44276" t="s">
        <v>265</v>
      </c>
    </row>
    <row r="44277" spans="13:13" x14ac:dyDescent="0.25">
      <c r="M44277" t="s">
        <v>266</v>
      </c>
    </row>
    <row r="44326" spans="13:13" x14ac:dyDescent="0.25">
      <c r="M44326" t="s">
        <v>267</v>
      </c>
    </row>
    <row r="44327" spans="13:13" x14ac:dyDescent="0.25">
      <c r="M44327" t="s">
        <v>268</v>
      </c>
    </row>
    <row r="44328" spans="13:13" x14ac:dyDescent="0.25">
      <c r="M44328" t="s">
        <v>269</v>
      </c>
    </row>
    <row r="44329" spans="13:13" x14ac:dyDescent="0.25">
      <c r="M44329" t="s">
        <v>270</v>
      </c>
    </row>
    <row r="44330" spans="13:13" x14ac:dyDescent="0.25">
      <c r="M44330" t="s">
        <v>271</v>
      </c>
    </row>
    <row r="44331" spans="13:13" x14ac:dyDescent="0.25">
      <c r="M44331" t="s">
        <v>272</v>
      </c>
    </row>
    <row r="44352" spans="13:13" x14ac:dyDescent="0.25">
      <c r="M44352" t="s">
        <v>273</v>
      </c>
    </row>
    <row r="44353" spans="13:13" x14ac:dyDescent="0.25">
      <c r="M44353" t="s">
        <v>274</v>
      </c>
    </row>
    <row r="44356" spans="13:13" x14ac:dyDescent="0.25">
      <c r="M44356" t="s">
        <v>275</v>
      </c>
    </row>
    <row r="44357" spans="13:13" x14ac:dyDescent="0.25">
      <c r="M44357" t="s">
        <v>276</v>
      </c>
    </row>
    <row r="44358" spans="13:13" x14ac:dyDescent="0.25">
      <c r="M44358" t="s">
        <v>277</v>
      </c>
    </row>
    <row r="44363" spans="13:13" x14ac:dyDescent="0.25">
      <c r="M44363" t="s">
        <v>278</v>
      </c>
    </row>
    <row r="44364" spans="13:13" x14ac:dyDescent="0.25">
      <c r="M44364" t="s">
        <v>279</v>
      </c>
    </row>
    <row r="44380" spans="13:13" x14ac:dyDescent="0.25">
      <c r="M44380" t="s">
        <v>203</v>
      </c>
    </row>
    <row r="44381" spans="13:13" x14ac:dyDescent="0.25">
      <c r="M44381" t="s">
        <v>204</v>
      </c>
    </row>
    <row r="44382" spans="13:13" x14ac:dyDescent="0.25">
      <c r="M44382" t="s">
        <v>205</v>
      </c>
    </row>
    <row r="44383" spans="13:13" x14ac:dyDescent="0.25">
      <c r="M44383" t="s">
        <v>206</v>
      </c>
    </row>
    <row r="44384" spans="13:13" x14ac:dyDescent="0.25">
      <c r="M44384" t="s">
        <v>207</v>
      </c>
    </row>
    <row r="44385" spans="13:13" x14ac:dyDescent="0.25">
      <c r="M44385" t="s">
        <v>208</v>
      </c>
    </row>
    <row r="44386" spans="13:13" x14ac:dyDescent="0.25">
      <c r="M44386" t="s">
        <v>209</v>
      </c>
    </row>
    <row r="44387" spans="13:13" x14ac:dyDescent="0.25">
      <c r="M44387" t="s">
        <v>210</v>
      </c>
    </row>
    <row r="44407" spans="13:13" x14ac:dyDescent="0.25">
      <c r="M44407" t="s">
        <v>211</v>
      </c>
    </row>
    <row r="44408" spans="13:13" x14ac:dyDescent="0.25">
      <c r="M44408" t="s">
        <v>212</v>
      </c>
    </row>
    <row r="44409" spans="13:13" x14ac:dyDescent="0.25">
      <c r="M44409" t="s">
        <v>213</v>
      </c>
    </row>
    <row r="44410" spans="13:13" x14ac:dyDescent="0.25">
      <c r="M44410" t="s">
        <v>214</v>
      </c>
    </row>
    <row r="44411" spans="13:13" x14ac:dyDescent="0.25">
      <c r="M44411" t="s">
        <v>215</v>
      </c>
    </row>
    <row r="44412" spans="13:13" x14ac:dyDescent="0.25">
      <c r="M44412" t="s">
        <v>216</v>
      </c>
    </row>
    <row r="44413" spans="13:13" x14ac:dyDescent="0.25">
      <c r="M44413" t="s">
        <v>217</v>
      </c>
    </row>
    <row r="44414" spans="13:13" x14ac:dyDescent="0.25">
      <c r="M44414" t="s">
        <v>218</v>
      </c>
    </row>
    <row r="44415" spans="13:13" x14ac:dyDescent="0.25">
      <c r="M44415" t="s">
        <v>219</v>
      </c>
    </row>
    <row r="44416" spans="13:13" x14ac:dyDescent="0.25">
      <c r="M44416" t="s">
        <v>220</v>
      </c>
    </row>
    <row r="44420" spans="13:13" x14ac:dyDescent="0.25">
      <c r="M44420" t="s">
        <v>221</v>
      </c>
    </row>
    <row r="44421" spans="13:13" x14ac:dyDescent="0.25">
      <c r="M44421" t="s">
        <v>222</v>
      </c>
    </row>
    <row r="44422" spans="13:13" x14ac:dyDescent="0.25">
      <c r="M44422" t="s">
        <v>223</v>
      </c>
    </row>
    <row r="44423" spans="13:13" x14ac:dyDescent="0.25">
      <c r="M44423" t="s">
        <v>224</v>
      </c>
    </row>
    <row r="44424" spans="13:13" x14ac:dyDescent="0.25">
      <c r="M44424" t="s">
        <v>225</v>
      </c>
    </row>
    <row r="44425" spans="13:13" x14ac:dyDescent="0.25">
      <c r="M44425" t="s">
        <v>226</v>
      </c>
    </row>
    <row r="44426" spans="13:13" x14ac:dyDescent="0.25">
      <c r="M44426" t="s">
        <v>227</v>
      </c>
    </row>
    <row r="44427" spans="13:13" x14ac:dyDescent="0.25">
      <c r="M44427" t="s">
        <v>228</v>
      </c>
    </row>
    <row r="44428" spans="13:13" x14ac:dyDescent="0.25">
      <c r="M44428" t="s">
        <v>229</v>
      </c>
    </row>
    <row r="44429" spans="13:13" x14ac:dyDescent="0.25">
      <c r="M44429" t="s">
        <v>230</v>
      </c>
    </row>
    <row r="44430" spans="13:13" x14ac:dyDescent="0.25">
      <c r="M44430" t="s">
        <v>231</v>
      </c>
    </row>
    <row r="44431" spans="13:13" x14ac:dyDescent="0.25">
      <c r="M44431" t="s">
        <v>232</v>
      </c>
    </row>
    <row r="44432" spans="13:13" x14ac:dyDescent="0.25">
      <c r="M44432" t="s">
        <v>233</v>
      </c>
    </row>
    <row r="44433" spans="13:13" x14ac:dyDescent="0.25">
      <c r="M44433" t="s">
        <v>234</v>
      </c>
    </row>
    <row r="44434" spans="13:13" x14ac:dyDescent="0.25">
      <c r="M44434" t="s">
        <v>235</v>
      </c>
    </row>
    <row r="44435" spans="13:13" x14ac:dyDescent="0.25">
      <c r="M44435" t="s">
        <v>236</v>
      </c>
    </row>
    <row r="44436" spans="13:13" x14ac:dyDescent="0.25">
      <c r="M44436" t="s">
        <v>237</v>
      </c>
    </row>
    <row r="44437" spans="13:13" x14ac:dyDescent="0.25">
      <c r="M44437" t="s">
        <v>238</v>
      </c>
    </row>
    <row r="44438" spans="13:13" x14ac:dyDescent="0.25">
      <c r="M44438" t="s">
        <v>239</v>
      </c>
    </row>
    <row r="44439" spans="13:13" x14ac:dyDescent="0.25">
      <c r="M44439" t="s">
        <v>240</v>
      </c>
    </row>
    <row r="44440" spans="13:13" x14ac:dyDescent="0.25">
      <c r="M44440" t="s">
        <v>241</v>
      </c>
    </row>
    <row r="44441" spans="13:13" x14ac:dyDescent="0.25">
      <c r="M44441" t="s">
        <v>242</v>
      </c>
    </row>
    <row r="44442" spans="13:13" x14ac:dyDescent="0.25">
      <c r="M44442" t="s">
        <v>243</v>
      </c>
    </row>
    <row r="44443" spans="13:13" x14ac:dyDescent="0.25">
      <c r="M44443" t="s">
        <v>244</v>
      </c>
    </row>
    <row r="44444" spans="13:13" x14ac:dyDescent="0.25">
      <c r="M44444" t="s">
        <v>245</v>
      </c>
    </row>
    <row r="44445" spans="13:13" x14ac:dyDescent="0.25">
      <c r="M44445" t="s">
        <v>246</v>
      </c>
    </row>
    <row r="44446" spans="13:13" x14ac:dyDescent="0.25">
      <c r="M44446" t="s">
        <v>247</v>
      </c>
    </row>
    <row r="44447" spans="13:13" x14ac:dyDescent="0.25">
      <c r="M44447" t="s">
        <v>248</v>
      </c>
    </row>
    <row r="44448" spans="13:13" x14ac:dyDescent="0.25">
      <c r="M44448" t="s">
        <v>249</v>
      </c>
    </row>
    <row r="44449" spans="13:13" x14ac:dyDescent="0.25">
      <c r="M44449" t="s">
        <v>250</v>
      </c>
    </row>
    <row r="44450" spans="13:13" x14ac:dyDescent="0.25">
      <c r="M44450" t="s">
        <v>251</v>
      </c>
    </row>
    <row r="44451" spans="13:13" x14ac:dyDescent="0.25">
      <c r="M44451" t="s">
        <v>252</v>
      </c>
    </row>
    <row r="44452" spans="13:13" x14ac:dyDescent="0.25">
      <c r="M44452" t="s">
        <v>253</v>
      </c>
    </row>
    <row r="44462" spans="13:13" x14ac:dyDescent="0.25">
      <c r="M44462" t="s">
        <v>254</v>
      </c>
    </row>
    <row r="44463" spans="13:13" x14ac:dyDescent="0.25">
      <c r="M44463" t="s">
        <v>83</v>
      </c>
    </row>
    <row r="44477" spans="13:13" x14ac:dyDescent="0.25">
      <c r="M44477" t="s">
        <v>255</v>
      </c>
    </row>
    <row r="44478" spans="13:13" x14ac:dyDescent="0.25">
      <c r="M44478" t="s">
        <v>256</v>
      </c>
    </row>
    <row r="44479" spans="13:13" x14ac:dyDescent="0.25">
      <c r="M44479" t="s">
        <v>257</v>
      </c>
    </row>
    <row r="44480" spans="13:13" x14ac:dyDescent="0.25">
      <c r="M44480" t="s">
        <v>258</v>
      </c>
    </row>
    <row r="44481" spans="13:13" x14ac:dyDescent="0.25">
      <c r="M44481" t="s">
        <v>259</v>
      </c>
    </row>
    <row r="44482" spans="13:13" x14ac:dyDescent="0.25">
      <c r="M44482" t="s">
        <v>260</v>
      </c>
    </row>
    <row r="44483" spans="13:13" x14ac:dyDescent="0.25">
      <c r="M44483" t="s">
        <v>261</v>
      </c>
    </row>
    <row r="44484" spans="13:13" x14ac:dyDescent="0.25">
      <c r="M44484" t="s">
        <v>262</v>
      </c>
    </row>
    <row r="44485" spans="13:13" x14ac:dyDescent="0.25">
      <c r="M44485" t="s">
        <v>263</v>
      </c>
    </row>
    <row r="44536" spans="13:13" x14ac:dyDescent="0.25">
      <c r="M44536" t="s">
        <v>264</v>
      </c>
    </row>
    <row r="44537" spans="13:13" x14ac:dyDescent="0.25">
      <c r="M44537" t="s">
        <v>265</v>
      </c>
    </row>
    <row r="44538" spans="13:13" x14ac:dyDescent="0.25">
      <c r="M44538" t="s">
        <v>266</v>
      </c>
    </row>
    <row r="44587" spans="13:13" x14ac:dyDescent="0.25">
      <c r="M44587" t="s">
        <v>267</v>
      </c>
    </row>
    <row r="44588" spans="13:13" x14ac:dyDescent="0.25">
      <c r="M44588" t="s">
        <v>268</v>
      </c>
    </row>
    <row r="44589" spans="13:13" x14ac:dyDescent="0.25">
      <c r="M44589" t="s">
        <v>269</v>
      </c>
    </row>
    <row r="44590" spans="13:13" x14ac:dyDescent="0.25">
      <c r="M44590" t="s">
        <v>270</v>
      </c>
    </row>
    <row r="44591" spans="13:13" x14ac:dyDescent="0.25">
      <c r="M44591" t="s">
        <v>271</v>
      </c>
    </row>
    <row r="44592" spans="13:13" x14ac:dyDescent="0.25">
      <c r="M44592" t="s">
        <v>272</v>
      </c>
    </row>
    <row r="44613" spans="13:13" x14ac:dyDescent="0.25">
      <c r="M44613" t="s">
        <v>273</v>
      </c>
    </row>
    <row r="44614" spans="13:13" x14ac:dyDescent="0.25">
      <c r="M44614" t="s">
        <v>274</v>
      </c>
    </row>
    <row r="44617" spans="13:13" x14ac:dyDescent="0.25">
      <c r="M44617" t="s">
        <v>275</v>
      </c>
    </row>
    <row r="44618" spans="13:13" x14ac:dyDescent="0.25">
      <c r="M44618" t="s">
        <v>276</v>
      </c>
    </row>
    <row r="44619" spans="13:13" x14ac:dyDescent="0.25">
      <c r="M44619" t="s">
        <v>277</v>
      </c>
    </row>
    <row r="44624" spans="13:13" x14ac:dyDescent="0.25">
      <c r="M44624" t="s">
        <v>278</v>
      </c>
    </row>
    <row r="44625" spans="13:13" x14ac:dyDescent="0.25">
      <c r="M44625" t="s">
        <v>279</v>
      </c>
    </row>
    <row r="44641" spans="13:13" x14ac:dyDescent="0.25">
      <c r="M44641" t="s">
        <v>203</v>
      </c>
    </row>
    <row r="44642" spans="13:13" x14ac:dyDescent="0.25">
      <c r="M44642" t="s">
        <v>204</v>
      </c>
    </row>
    <row r="44643" spans="13:13" x14ac:dyDescent="0.25">
      <c r="M44643" t="s">
        <v>205</v>
      </c>
    </row>
    <row r="44644" spans="13:13" x14ac:dyDescent="0.25">
      <c r="M44644" t="s">
        <v>206</v>
      </c>
    </row>
    <row r="44645" spans="13:13" x14ac:dyDescent="0.25">
      <c r="M44645" t="s">
        <v>207</v>
      </c>
    </row>
    <row r="44646" spans="13:13" x14ac:dyDescent="0.25">
      <c r="M44646" t="s">
        <v>208</v>
      </c>
    </row>
    <row r="44647" spans="13:13" x14ac:dyDescent="0.25">
      <c r="M44647" t="s">
        <v>209</v>
      </c>
    </row>
    <row r="44648" spans="13:13" x14ac:dyDescent="0.25">
      <c r="M44648" t="s">
        <v>210</v>
      </c>
    </row>
    <row r="44668" spans="13:13" x14ac:dyDescent="0.25">
      <c r="M44668" t="s">
        <v>211</v>
      </c>
    </row>
    <row r="44669" spans="13:13" x14ac:dyDescent="0.25">
      <c r="M44669" t="s">
        <v>212</v>
      </c>
    </row>
    <row r="44670" spans="13:13" x14ac:dyDescent="0.25">
      <c r="M44670" t="s">
        <v>213</v>
      </c>
    </row>
    <row r="44671" spans="13:13" x14ac:dyDescent="0.25">
      <c r="M44671" t="s">
        <v>214</v>
      </c>
    </row>
    <row r="44672" spans="13:13" x14ac:dyDescent="0.25">
      <c r="M44672" t="s">
        <v>215</v>
      </c>
    </row>
    <row r="44673" spans="13:13" x14ac:dyDescent="0.25">
      <c r="M44673" t="s">
        <v>216</v>
      </c>
    </row>
    <row r="44674" spans="13:13" x14ac:dyDescent="0.25">
      <c r="M44674" t="s">
        <v>217</v>
      </c>
    </row>
    <row r="44675" spans="13:13" x14ac:dyDescent="0.25">
      <c r="M44675" t="s">
        <v>218</v>
      </c>
    </row>
    <row r="44676" spans="13:13" x14ac:dyDescent="0.25">
      <c r="M44676" t="s">
        <v>219</v>
      </c>
    </row>
    <row r="44677" spans="13:13" x14ac:dyDescent="0.25">
      <c r="M44677" t="s">
        <v>220</v>
      </c>
    </row>
    <row r="44681" spans="13:13" x14ac:dyDescent="0.25">
      <c r="M44681" t="s">
        <v>221</v>
      </c>
    </row>
    <row r="44682" spans="13:13" x14ac:dyDescent="0.25">
      <c r="M44682" t="s">
        <v>222</v>
      </c>
    </row>
    <row r="44683" spans="13:13" x14ac:dyDescent="0.25">
      <c r="M44683" t="s">
        <v>223</v>
      </c>
    </row>
    <row r="44684" spans="13:13" x14ac:dyDescent="0.25">
      <c r="M44684" t="s">
        <v>224</v>
      </c>
    </row>
    <row r="44685" spans="13:13" x14ac:dyDescent="0.25">
      <c r="M44685" t="s">
        <v>225</v>
      </c>
    </row>
    <row r="44686" spans="13:13" x14ac:dyDescent="0.25">
      <c r="M44686" t="s">
        <v>226</v>
      </c>
    </row>
    <row r="44687" spans="13:13" x14ac:dyDescent="0.25">
      <c r="M44687" t="s">
        <v>227</v>
      </c>
    </row>
    <row r="44688" spans="13:13" x14ac:dyDescent="0.25">
      <c r="M44688" t="s">
        <v>228</v>
      </c>
    </row>
    <row r="44689" spans="13:13" x14ac:dyDescent="0.25">
      <c r="M44689" t="s">
        <v>229</v>
      </c>
    </row>
    <row r="44690" spans="13:13" x14ac:dyDescent="0.25">
      <c r="M44690" t="s">
        <v>230</v>
      </c>
    </row>
    <row r="44691" spans="13:13" x14ac:dyDescent="0.25">
      <c r="M44691" t="s">
        <v>231</v>
      </c>
    </row>
    <row r="44692" spans="13:13" x14ac:dyDescent="0.25">
      <c r="M44692" t="s">
        <v>232</v>
      </c>
    </row>
    <row r="44693" spans="13:13" x14ac:dyDescent="0.25">
      <c r="M44693" t="s">
        <v>233</v>
      </c>
    </row>
    <row r="44694" spans="13:13" x14ac:dyDescent="0.25">
      <c r="M44694" t="s">
        <v>234</v>
      </c>
    </row>
    <row r="44695" spans="13:13" x14ac:dyDescent="0.25">
      <c r="M44695" t="s">
        <v>235</v>
      </c>
    </row>
    <row r="44696" spans="13:13" x14ac:dyDescent="0.25">
      <c r="M44696" t="s">
        <v>236</v>
      </c>
    </row>
    <row r="44697" spans="13:13" x14ac:dyDescent="0.25">
      <c r="M44697" t="s">
        <v>237</v>
      </c>
    </row>
    <row r="44698" spans="13:13" x14ac:dyDescent="0.25">
      <c r="M44698" t="s">
        <v>238</v>
      </c>
    </row>
    <row r="44699" spans="13:13" x14ac:dyDescent="0.25">
      <c r="M44699" t="s">
        <v>239</v>
      </c>
    </row>
    <row r="44700" spans="13:13" x14ac:dyDescent="0.25">
      <c r="M44700" t="s">
        <v>240</v>
      </c>
    </row>
    <row r="44701" spans="13:13" x14ac:dyDescent="0.25">
      <c r="M44701" t="s">
        <v>241</v>
      </c>
    </row>
    <row r="44702" spans="13:13" x14ac:dyDescent="0.25">
      <c r="M44702" t="s">
        <v>242</v>
      </c>
    </row>
    <row r="44703" spans="13:13" x14ac:dyDescent="0.25">
      <c r="M44703" t="s">
        <v>243</v>
      </c>
    </row>
    <row r="44704" spans="13:13" x14ac:dyDescent="0.25">
      <c r="M44704" t="s">
        <v>244</v>
      </c>
    </row>
    <row r="44705" spans="13:13" x14ac:dyDescent="0.25">
      <c r="M44705" t="s">
        <v>245</v>
      </c>
    </row>
    <row r="44706" spans="13:13" x14ac:dyDescent="0.25">
      <c r="M44706" t="s">
        <v>246</v>
      </c>
    </row>
    <row r="44707" spans="13:13" x14ac:dyDescent="0.25">
      <c r="M44707" t="s">
        <v>247</v>
      </c>
    </row>
    <row r="44708" spans="13:13" x14ac:dyDescent="0.25">
      <c r="M44708" t="s">
        <v>248</v>
      </c>
    </row>
    <row r="44709" spans="13:13" x14ac:dyDescent="0.25">
      <c r="M44709" t="s">
        <v>249</v>
      </c>
    </row>
    <row r="44710" spans="13:13" x14ac:dyDescent="0.25">
      <c r="M44710" t="s">
        <v>250</v>
      </c>
    </row>
    <row r="44711" spans="13:13" x14ac:dyDescent="0.25">
      <c r="M44711" t="s">
        <v>251</v>
      </c>
    </row>
    <row r="44712" spans="13:13" x14ac:dyDescent="0.25">
      <c r="M44712" t="s">
        <v>252</v>
      </c>
    </row>
    <row r="44713" spans="13:13" x14ac:dyDescent="0.25">
      <c r="M44713" t="s">
        <v>253</v>
      </c>
    </row>
    <row r="44723" spans="13:13" x14ac:dyDescent="0.25">
      <c r="M44723" t="s">
        <v>254</v>
      </c>
    </row>
    <row r="44724" spans="13:13" x14ac:dyDescent="0.25">
      <c r="M44724" t="s">
        <v>83</v>
      </c>
    </row>
    <row r="44738" spans="13:13" x14ac:dyDescent="0.25">
      <c r="M44738" t="s">
        <v>255</v>
      </c>
    </row>
    <row r="44739" spans="13:13" x14ac:dyDescent="0.25">
      <c r="M44739" t="s">
        <v>256</v>
      </c>
    </row>
    <row r="44740" spans="13:13" x14ac:dyDescent="0.25">
      <c r="M44740" t="s">
        <v>257</v>
      </c>
    </row>
    <row r="44741" spans="13:13" x14ac:dyDescent="0.25">
      <c r="M44741" t="s">
        <v>258</v>
      </c>
    </row>
    <row r="44742" spans="13:13" x14ac:dyDescent="0.25">
      <c r="M44742" t="s">
        <v>259</v>
      </c>
    </row>
    <row r="44743" spans="13:13" x14ac:dyDescent="0.25">
      <c r="M44743" t="s">
        <v>260</v>
      </c>
    </row>
    <row r="44744" spans="13:13" x14ac:dyDescent="0.25">
      <c r="M44744" t="s">
        <v>261</v>
      </c>
    </row>
    <row r="44745" spans="13:13" x14ac:dyDescent="0.25">
      <c r="M44745" t="s">
        <v>262</v>
      </c>
    </row>
    <row r="44746" spans="13:13" x14ac:dyDescent="0.25">
      <c r="M44746" t="s">
        <v>263</v>
      </c>
    </row>
    <row r="44797" spans="13:13" x14ac:dyDescent="0.25">
      <c r="M44797" t="s">
        <v>264</v>
      </c>
    </row>
    <row r="44798" spans="13:13" x14ac:dyDescent="0.25">
      <c r="M44798" t="s">
        <v>265</v>
      </c>
    </row>
    <row r="44799" spans="13:13" x14ac:dyDescent="0.25">
      <c r="M44799" t="s">
        <v>266</v>
      </c>
    </row>
    <row r="44848" spans="13:13" x14ac:dyDescent="0.25">
      <c r="M44848" t="s">
        <v>267</v>
      </c>
    </row>
    <row r="44849" spans="13:13" x14ac:dyDescent="0.25">
      <c r="M44849" t="s">
        <v>268</v>
      </c>
    </row>
    <row r="44850" spans="13:13" x14ac:dyDescent="0.25">
      <c r="M44850" t="s">
        <v>269</v>
      </c>
    </row>
    <row r="44851" spans="13:13" x14ac:dyDescent="0.25">
      <c r="M44851" t="s">
        <v>270</v>
      </c>
    </row>
    <row r="44852" spans="13:13" x14ac:dyDescent="0.25">
      <c r="M44852" t="s">
        <v>271</v>
      </c>
    </row>
    <row r="44853" spans="13:13" x14ac:dyDescent="0.25">
      <c r="M44853" t="s">
        <v>272</v>
      </c>
    </row>
    <row r="44874" spans="13:13" x14ac:dyDescent="0.25">
      <c r="M44874" t="s">
        <v>273</v>
      </c>
    </row>
    <row r="44875" spans="13:13" x14ac:dyDescent="0.25">
      <c r="M44875" t="s">
        <v>274</v>
      </c>
    </row>
    <row r="44878" spans="13:13" x14ac:dyDescent="0.25">
      <c r="M44878" t="s">
        <v>275</v>
      </c>
    </row>
    <row r="44879" spans="13:13" x14ac:dyDescent="0.25">
      <c r="M44879" t="s">
        <v>276</v>
      </c>
    </row>
    <row r="44880" spans="13:13" x14ac:dyDescent="0.25">
      <c r="M44880" t="s">
        <v>277</v>
      </c>
    </row>
    <row r="44885" spans="13:13" x14ac:dyDescent="0.25">
      <c r="M44885" t="s">
        <v>278</v>
      </c>
    </row>
    <row r="44886" spans="13:13" x14ac:dyDescent="0.25">
      <c r="M44886" t="s">
        <v>279</v>
      </c>
    </row>
    <row r="44902" spans="13:13" x14ac:dyDescent="0.25">
      <c r="M44902" t="s">
        <v>203</v>
      </c>
    </row>
    <row r="44903" spans="13:13" x14ac:dyDescent="0.25">
      <c r="M44903" t="s">
        <v>204</v>
      </c>
    </row>
    <row r="44904" spans="13:13" x14ac:dyDescent="0.25">
      <c r="M44904" t="s">
        <v>205</v>
      </c>
    </row>
    <row r="44905" spans="13:13" x14ac:dyDescent="0.25">
      <c r="M44905" t="s">
        <v>206</v>
      </c>
    </row>
    <row r="44906" spans="13:13" x14ac:dyDescent="0.25">
      <c r="M44906" t="s">
        <v>207</v>
      </c>
    </row>
    <row r="44907" spans="13:13" x14ac:dyDescent="0.25">
      <c r="M44907" t="s">
        <v>208</v>
      </c>
    </row>
    <row r="44908" spans="13:13" x14ac:dyDescent="0.25">
      <c r="M44908" t="s">
        <v>209</v>
      </c>
    </row>
    <row r="44909" spans="13:13" x14ac:dyDescent="0.25">
      <c r="M44909" t="s">
        <v>210</v>
      </c>
    </row>
    <row r="44929" spans="13:13" x14ac:dyDescent="0.25">
      <c r="M44929" t="s">
        <v>211</v>
      </c>
    </row>
    <row r="44930" spans="13:13" x14ac:dyDescent="0.25">
      <c r="M44930" t="s">
        <v>212</v>
      </c>
    </row>
    <row r="44931" spans="13:13" x14ac:dyDescent="0.25">
      <c r="M44931" t="s">
        <v>213</v>
      </c>
    </row>
    <row r="44932" spans="13:13" x14ac:dyDescent="0.25">
      <c r="M44932" t="s">
        <v>214</v>
      </c>
    </row>
    <row r="44933" spans="13:13" x14ac:dyDescent="0.25">
      <c r="M44933" t="s">
        <v>215</v>
      </c>
    </row>
    <row r="44934" spans="13:13" x14ac:dyDescent="0.25">
      <c r="M44934" t="s">
        <v>216</v>
      </c>
    </row>
    <row r="44935" spans="13:13" x14ac:dyDescent="0.25">
      <c r="M44935" t="s">
        <v>217</v>
      </c>
    </row>
    <row r="44936" spans="13:13" x14ac:dyDescent="0.25">
      <c r="M44936" t="s">
        <v>218</v>
      </c>
    </row>
    <row r="44937" spans="13:13" x14ac:dyDescent="0.25">
      <c r="M44937" t="s">
        <v>219</v>
      </c>
    </row>
    <row r="44938" spans="13:13" x14ac:dyDescent="0.25">
      <c r="M44938" t="s">
        <v>220</v>
      </c>
    </row>
    <row r="44942" spans="13:13" x14ac:dyDescent="0.25">
      <c r="M44942" t="s">
        <v>221</v>
      </c>
    </row>
    <row r="44943" spans="13:13" x14ac:dyDescent="0.25">
      <c r="M44943" t="s">
        <v>222</v>
      </c>
    </row>
    <row r="44944" spans="13:13" x14ac:dyDescent="0.25">
      <c r="M44944" t="s">
        <v>223</v>
      </c>
    </row>
    <row r="44945" spans="13:13" x14ac:dyDescent="0.25">
      <c r="M44945" t="s">
        <v>224</v>
      </c>
    </row>
    <row r="44946" spans="13:13" x14ac:dyDescent="0.25">
      <c r="M44946" t="s">
        <v>225</v>
      </c>
    </row>
    <row r="44947" spans="13:13" x14ac:dyDescent="0.25">
      <c r="M44947" t="s">
        <v>226</v>
      </c>
    </row>
    <row r="44948" spans="13:13" x14ac:dyDescent="0.25">
      <c r="M44948" t="s">
        <v>227</v>
      </c>
    </row>
    <row r="44949" spans="13:13" x14ac:dyDescent="0.25">
      <c r="M44949" t="s">
        <v>228</v>
      </c>
    </row>
    <row r="44950" spans="13:13" x14ac:dyDescent="0.25">
      <c r="M44950" t="s">
        <v>229</v>
      </c>
    </row>
    <row r="44951" spans="13:13" x14ac:dyDescent="0.25">
      <c r="M44951" t="s">
        <v>230</v>
      </c>
    </row>
    <row r="44952" spans="13:13" x14ac:dyDescent="0.25">
      <c r="M44952" t="s">
        <v>231</v>
      </c>
    </row>
    <row r="44953" spans="13:13" x14ac:dyDescent="0.25">
      <c r="M44953" t="s">
        <v>232</v>
      </c>
    </row>
    <row r="44954" spans="13:13" x14ac:dyDescent="0.25">
      <c r="M44954" t="s">
        <v>233</v>
      </c>
    </row>
    <row r="44955" spans="13:13" x14ac:dyDescent="0.25">
      <c r="M44955" t="s">
        <v>234</v>
      </c>
    </row>
    <row r="44956" spans="13:13" x14ac:dyDescent="0.25">
      <c r="M44956" t="s">
        <v>235</v>
      </c>
    </row>
    <row r="44957" spans="13:13" x14ac:dyDescent="0.25">
      <c r="M44957" t="s">
        <v>236</v>
      </c>
    </row>
    <row r="44958" spans="13:13" x14ac:dyDescent="0.25">
      <c r="M44958" t="s">
        <v>237</v>
      </c>
    </row>
    <row r="44959" spans="13:13" x14ac:dyDescent="0.25">
      <c r="M44959" t="s">
        <v>238</v>
      </c>
    </row>
    <row r="44960" spans="13:13" x14ac:dyDescent="0.25">
      <c r="M44960" t="s">
        <v>239</v>
      </c>
    </row>
    <row r="44961" spans="13:13" x14ac:dyDescent="0.25">
      <c r="M44961" t="s">
        <v>240</v>
      </c>
    </row>
    <row r="44962" spans="13:13" x14ac:dyDescent="0.25">
      <c r="M44962" t="s">
        <v>241</v>
      </c>
    </row>
    <row r="44963" spans="13:13" x14ac:dyDescent="0.25">
      <c r="M44963" t="s">
        <v>242</v>
      </c>
    </row>
    <row r="44964" spans="13:13" x14ac:dyDescent="0.25">
      <c r="M44964" t="s">
        <v>243</v>
      </c>
    </row>
    <row r="44965" spans="13:13" x14ac:dyDescent="0.25">
      <c r="M44965" t="s">
        <v>244</v>
      </c>
    </row>
    <row r="44966" spans="13:13" x14ac:dyDescent="0.25">
      <c r="M44966" t="s">
        <v>245</v>
      </c>
    </row>
    <row r="44967" spans="13:13" x14ac:dyDescent="0.25">
      <c r="M44967" t="s">
        <v>246</v>
      </c>
    </row>
    <row r="44968" spans="13:13" x14ac:dyDescent="0.25">
      <c r="M44968" t="s">
        <v>247</v>
      </c>
    </row>
    <row r="44969" spans="13:13" x14ac:dyDescent="0.25">
      <c r="M44969" t="s">
        <v>248</v>
      </c>
    </row>
    <row r="44970" spans="13:13" x14ac:dyDescent="0.25">
      <c r="M44970" t="s">
        <v>249</v>
      </c>
    </row>
    <row r="44971" spans="13:13" x14ac:dyDescent="0.25">
      <c r="M44971" t="s">
        <v>250</v>
      </c>
    </row>
    <row r="44972" spans="13:13" x14ac:dyDescent="0.25">
      <c r="M44972" t="s">
        <v>251</v>
      </c>
    </row>
    <row r="44973" spans="13:13" x14ac:dyDescent="0.25">
      <c r="M44973" t="s">
        <v>252</v>
      </c>
    </row>
    <row r="44974" spans="13:13" x14ac:dyDescent="0.25">
      <c r="M44974" t="s">
        <v>253</v>
      </c>
    </row>
    <row r="44984" spans="13:13" x14ac:dyDescent="0.25">
      <c r="M44984" t="s">
        <v>254</v>
      </c>
    </row>
    <row r="44985" spans="13:13" x14ac:dyDescent="0.25">
      <c r="M44985" t="s">
        <v>83</v>
      </c>
    </row>
    <row r="44999" spans="13:13" x14ac:dyDescent="0.25">
      <c r="M44999" t="s">
        <v>255</v>
      </c>
    </row>
    <row r="45000" spans="13:13" x14ac:dyDescent="0.25">
      <c r="M45000" t="s">
        <v>256</v>
      </c>
    </row>
    <row r="45001" spans="13:13" x14ac:dyDescent="0.25">
      <c r="M45001" t="s">
        <v>257</v>
      </c>
    </row>
    <row r="45002" spans="13:13" x14ac:dyDescent="0.25">
      <c r="M45002" t="s">
        <v>258</v>
      </c>
    </row>
    <row r="45003" spans="13:13" x14ac:dyDescent="0.25">
      <c r="M45003" t="s">
        <v>259</v>
      </c>
    </row>
    <row r="45004" spans="13:13" x14ac:dyDescent="0.25">
      <c r="M45004" t="s">
        <v>260</v>
      </c>
    </row>
    <row r="45005" spans="13:13" x14ac:dyDescent="0.25">
      <c r="M45005" t="s">
        <v>261</v>
      </c>
    </row>
    <row r="45006" spans="13:13" x14ac:dyDescent="0.25">
      <c r="M45006" t="s">
        <v>262</v>
      </c>
    </row>
    <row r="45007" spans="13:13" x14ac:dyDescent="0.25">
      <c r="M45007" t="s">
        <v>263</v>
      </c>
    </row>
    <row r="45058" spans="13:13" x14ac:dyDescent="0.25">
      <c r="M45058" t="s">
        <v>264</v>
      </c>
    </row>
    <row r="45059" spans="13:13" x14ac:dyDescent="0.25">
      <c r="M45059" t="s">
        <v>265</v>
      </c>
    </row>
    <row r="45060" spans="13:13" x14ac:dyDescent="0.25">
      <c r="M45060" t="s">
        <v>266</v>
      </c>
    </row>
    <row r="45109" spans="13:13" x14ac:dyDescent="0.25">
      <c r="M45109" t="s">
        <v>267</v>
      </c>
    </row>
    <row r="45110" spans="13:13" x14ac:dyDescent="0.25">
      <c r="M45110" t="s">
        <v>268</v>
      </c>
    </row>
    <row r="45111" spans="13:13" x14ac:dyDescent="0.25">
      <c r="M45111" t="s">
        <v>269</v>
      </c>
    </row>
    <row r="45112" spans="13:13" x14ac:dyDescent="0.25">
      <c r="M45112" t="s">
        <v>270</v>
      </c>
    </row>
    <row r="45113" spans="13:13" x14ac:dyDescent="0.25">
      <c r="M45113" t="s">
        <v>271</v>
      </c>
    </row>
    <row r="45114" spans="13:13" x14ac:dyDescent="0.25">
      <c r="M45114" t="s">
        <v>272</v>
      </c>
    </row>
    <row r="45135" spans="13:13" x14ac:dyDescent="0.25">
      <c r="M45135" t="s">
        <v>273</v>
      </c>
    </row>
    <row r="45136" spans="13:13" x14ac:dyDescent="0.25">
      <c r="M45136" t="s">
        <v>274</v>
      </c>
    </row>
    <row r="45139" spans="13:13" x14ac:dyDescent="0.25">
      <c r="M45139" t="s">
        <v>275</v>
      </c>
    </row>
    <row r="45140" spans="13:13" x14ac:dyDescent="0.25">
      <c r="M45140" t="s">
        <v>276</v>
      </c>
    </row>
    <row r="45141" spans="13:13" x14ac:dyDescent="0.25">
      <c r="M45141" t="s">
        <v>277</v>
      </c>
    </row>
    <row r="45146" spans="13:13" x14ac:dyDescent="0.25">
      <c r="M45146" t="s">
        <v>278</v>
      </c>
    </row>
    <row r="45147" spans="13:13" x14ac:dyDescent="0.25">
      <c r="M45147" t="s">
        <v>279</v>
      </c>
    </row>
    <row r="45163" spans="13:13" x14ac:dyDescent="0.25">
      <c r="M45163" t="s">
        <v>203</v>
      </c>
    </row>
    <row r="45164" spans="13:13" x14ac:dyDescent="0.25">
      <c r="M45164" t="s">
        <v>204</v>
      </c>
    </row>
    <row r="45165" spans="13:13" x14ac:dyDescent="0.25">
      <c r="M45165" t="s">
        <v>205</v>
      </c>
    </row>
    <row r="45166" spans="13:13" x14ac:dyDescent="0.25">
      <c r="M45166" t="s">
        <v>206</v>
      </c>
    </row>
    <row r="45167" spans="13:13" x14ac:dyDescent="0.25">
      <c r="M45167" t="s">
        <v>207</v>
      </c>
    </row>
    <row r="45168" spans="13:13" x14ac:dyDescent="0.25">
      <c r="M45168" t="s">
        <v>208</v>
      </c>
    </row>
    <row r="45169" spans="13:13" x14ac:dyDescent="0.25">
      <c r="M45169" t="s">
        <v>209</v>
      </c>
    </row>
    <row r="45170" spans="13:13" x14ac:dyDescent="0.25">
      <c r="M45170" t="s">
        <v>210</v>
      </c>
    </row>
    <row r="45190" spans="13:13" x14ac:dyDescent="0.25">
      <c r="M45190" t="s">
        <v>211</v>
      </c>
    </row>
    <row r="45191" spans="13:13" x14ac:dyDescent="0.25">
      <c r="M45191" t="s">
        <v>212</v>
      </c>
    </row>
    <row r="45192" spans="13:13" x14ac:dyDescent="0.25">
      <c r="M45192" t="s">
        <v>213</v>
      </c>
    </row>
    <row r="45193" spans="13:13" x14ac:dyDescent="0.25">
      <c r="M45193" t="s">
        <v>214</v>
      </c>
    </row>
    <row r="45194" spans="13:13" x14ac:dyDescent="0.25">
      <c r="M45194" t="s">
        <v>215</v>
      </c>
    </row>
    <row r="45195" spans="13:13" x14ac:dyDescent="0.25">
      <c r="M45195" t="s">
        <v>216</v>
      </c>
    </row>
    <row r="45196" spans="13:13" x14ac:dyDescent="0.25">
      <c r="M45196" t="s">
        <v>217</v>
      </c>
    </row>
    <row r="45197" spans="13:13" x14ac:dyDescent="0.25">
      <c r="M45197" t="s">
        <v>218</v>
      </c>
    </row>
    <row r="45198" spans="13:13" x14ac:dyDescent="0.25">
      <c r="M45198" t="s">
        <v>219</v>
      </c>
    </row>
    <row r="45199" spans="13:13" x14ac:dyDescent="0.25">
      <c r="M45199" t="s">
        <v>220</v>
      </c>
    </row>
    <row r="45203" spans="13:13" x14ac:dyDescent="0.25">
      <c r="M45203" t="s">
        <v>221</v>
      </c>
    </row>
    <row r="45204" spans="13:13" x14ac:dyDescent="0.25">
      <c r="M45204" t="s">
        <v>222</v>
      </c>
    </row>
    <row r="45205" spans="13:13" x14ac:dyDescent="0.25">
      <c r="M45205" t="s">
        <v>223</v>
      </c>
    </row>
    <row r="45206" spans="13:13" x14ac:dyDescent="0.25">
      <c r="M45206" t="s">
        <v>224</v>
      </c>
    </row>
    <row r="45207" spans="13:13" x14ac:dyDescent="0.25">
      <c r="M45207" t="s">
        <v>225</v>
      </c>
    </row>
    <row r="45208" spans="13:13" x14ac:dyDescent="0.25">
      <c r="M45208" t="s">
        <v>226</v>
      </c>
    </row>
    <row r="45209" spans="13:13" x14ac:dyDescent="0.25">
      <c r="M45209" t="s">
        <v>227</v>
      </c>
    </row>
    <row r="45210" spans="13:13" x14ac:dyDescent="0.25">
      <c r="M45210" t="s">
        <v>228</v>
      </c>
    </row>
    <row r="45211" spans="13:13" x14ac:dyDescent="0.25">
      <c r="M45211" t="s">
        <v>229</v>
      </c>
    </row>
    <row r="45212" spans="13:13" x14ac:dyDescent="0.25">
      <c r="M45212" t="s">
        <v>230</v>
      </c>
    </row>
    <row r="45213" spans="13:13" x14ac:dyDescent="0.25">
      <c r="M45213" t="s">
        <v>231</v>
      </c>
    </row>
    <row r="45214" spans="13:13" x14ac:dyDescent="0.25">
      <c r="M45214" t="s">
        <v>232</v>
      </c>
    </row>
    <row r="45215" spans="13:13" x14ac:dyDescent="0.25">
      <c r="M45215" t="s">
        <v>233</v>
      </c>
    </row>
    <row r="45216" spans="13:13" x14ac:dyDescent="0.25">
      <c r="M45216" t="s">
        <v>234</v>
      </c>
    </row>
    <row r="45217" spans="13:13" x14ac:dyDescent="0.25">
      <c r="M45217" t="s">
        <v>235</v>
      </c>
    </row>
    <row r="45218" spans="13:13" x14ac:dyDescent="0.25">
      <c r="M45218" t="s">
        <v>236</v>
      </c>
    </row>
    <row r="45219" spans="13:13" x14ac:dyDescent="0.25">
      <c r="M45219" t="s">
        <v>237</v>
      </c>
    </row>
    <row r="45220" spans="13:13" x14ac:dyDescent="0.25">
      <c r="M45220" t="s">
        <v>238</v>
      </c>
    </row>
    <row r="45221" spans="13:13" x14ac:dyDescent="0.25">
      <c r="M45221" t="s">
        <v>239</v>
      </c>
    </row>
    <row r="45222" spans="13:13" x14ac:dyDescent="0.25">
      <c r="M45222" t="s">
        <v>240</v>
      </c>
    </row>
    <row r="45223" spans="13:13" x14ac:dyDescent="0.25">
      <c r="M45223" t="s">
        <v>241</v>
      </c>
    </row>
    <row r="45224" spans="13:13" x14ac:dyDescent="0.25">
      <c r="M45224" t="s">
        <v>242</v>
      </c>
    </row>
    <row r="45225" spans="13:13" x14ac:dyDescent="0.25">
      <c r="M45225" t="s">
        <v>243</v>
      </c>
    </row>
    <row r="45226" spans="13:13" x14ac:dyDescent="0.25">
      <c r="M45226" t="s">
        <v>244</v>
      </c>
    </row>
    <row r="45227" spans="13:13" x14ac:dyDescent="0.25">
      <c r="M45227" t="s">
        <v>245</v>
      </c>
    </row>
    <row r="45228" spans="13:13" x14ac:dyDescent="0.25">
      <c r="M45228" t="s">
        <v>246</v>
      </c>
    </row>
    <row r="45229" spans="13:13" x14ac:dyDescent="0.25">
      <c r="M45229" t="s">
        <v>247</v>
      </c>
    </row>
    <row r="45230" spans="13:13" x14ac:dyDescent="0.25">
      <c r="M45230" t="s">
        <v>248</v>
      </c>
    </row>
    <row r="45231" spans="13:13" x14ac:dyDescent="0.25">
      <c r="M45231" t="s">
        <v>249</v>
      </c>
    </row>
    <row r="45232" spans="13:13" x14ac:dyDescent="0.25">
      <c r="M45232" t="s">
        <v>250</v>
      </c>
    </row>
    <row r="45233" spans="13:13" x14ac:dyDescent="0.25">
      <c r="M45233" t="s">
        <v>251</v>
      </c>
    </row>
    <row r="45234" spans="13:13" x14ac:dyDescent="0.25">
      <c r="M45234" t="s">
        <v>252</v>
      </c>
    </row>
    <row r="45235" spans="13:13" x14ac:dyDescent="0.25">
      <c r="M45235" t="s">
        <v>253</v>
      </c>
    </row>
    <row r="45245" spans="13:13" x14ac:dyDescent="0.25">
      <c r="M45245" t="s">
        <v>254</v>
      </c>
    </row>
    <row r="45246" spans="13:13" x14ac:dyDescent="0.25">
      <c r="M45246" t="s">
        <v>83</v>
      </c>
    </row>
    <row r="45260" spans="13:13" x14ac:dyDescent="0.25">
      <c r="M45260" t="s">
        <v>255</v>
      </c>
    </row>
    <row r="45261" spans="13:13" x14ac:dyDescent="0.25">
      <c r="M45261" t="s">
        <v>256</v>
      </c>
    </row>
    <row r="45262" spans="13:13" x14ac:dyDescent="0.25">
      <c r="M45262" t="s">
        <v>257</v>
      </c>
    </row>
    <row r="45263" spans="13:13" x14ac:dyDescent="0.25">
      <c r="M45263" t="s">
        <v>258</v>
      </c>
    </row>
    <row r="45264" spans="13:13" x14ac:dyDescent="0.25">
      <c r="M45264" t="s">
        <v>259</v>
      </c>
    </row>
    <row r="45265" spans="13:13" x14ac:dyDescent="0.25">
      <c r="M45265" t="s">
        <v>260</v>
      </c>
    </row>
    <row r="45266" spans="13:13" x14ac:dyDescent="0.25">
      <c r="M45266" t="s">
        <v>261</v>
      </c>
    </row>
    <row r="45267" spans="13:13" x14ac:dyDescent="0.25">
      <c r="M45267" t="s">
        <v>262</v>
      </c>
    </row>
    <row r="45268" spans="13:13" x14ac:dyDescent="0.25">
      <c r="M45268" t="s">
        <v>263</v>
      </c>
    </row>
    <row r="45319" spans="13:13" x14ac:dyDescent="0.25">
      <c r="M45319" t="s">
        <v>264</v>
      </c>
    </row>
    <row r="45320" spans="13:13" x14ac:dyDescent="0.25">
      <c r="M45320" t="s">
        <v>265</v>
      </c>
    </row>
    <row r="45321" spans="13:13" x14ac:dyDescent="0.25">
      <c r="M45321" t="s">
        <v>266</v>
      </c>
    </row>
    <row r="45370" spans="13:13" x14ac:dyDescent="0.25">
      <c r="M45370" t="s">
        <v>267</v>
      </c>
    </row>
    <row r="45371" spans="13:13" x14ac:dyDescent="0.25">
      <c r="M45371" t="s">
        <v>268</v>
      </c>
    </row>
    <row r="45372" spans="13:13" x14ac:dyDescent="0.25">
      <c r="M45372" t="s">
        <v>269</v>
      </c>
    </row>
    <row r="45373" spans="13:13" x14ac:dyDescent="0.25">
      <c r="M45373" t="s">
        <v>270</v>
      </c>
    </row>
    <row r="45374" spans="13:13" x14ac:dyDescent="0.25">
      <c r="M45374" t="s">
        <v>271</v>
      </c>
    </row>
    <row r="45375" spans="13:13" x14ac:dyDescent="0.25">
      <c r="M45375" t="s">
        <v>272</v>
      </c>
    </row>
    <row r="45396" spans="13:13" x14ac:dyDescent="0.25">
      <c r="M45396" t="s">
        <v>273</v>
      </c>
    </row>
    <row r="45397" spans="13:13" x14ac:dyDescent="0.25">
      <c r="M45397" t="s">
        <v>274</v>
      </c>
    </row>
    <row r="45400" spans="13:13" x14ac:dyDescent="0.25">
      <c r="M45400" t="s">
        <v>275</v>
      </c>
    </row>
    <row r="45401" spans="13:13" x14ac:dyDescent="0.25">
      <c r="M45401" t="s">
        <v>276</v>
      </c>
    </row>
    <row r="45402" spans="13:13" x14ac:dyDescent="0.25">
      <c r="M45402" t="s">
        <v>277</v>
      </c>
    </row>
    <row r="45407" spans="13:13" x14ac:dyDescent="0.25">
      <c r="M45407" t="s">
        <v>278</v>
      </c>
    </row>
    <row r="45408" spans="13:13" x14ac:dyDescent="0.25">
      <c r="M45408" t="s">
        <v>279</v>
      </c>
    </row>
    <row r="45424" spans="13:13" x14ac:dyDescent="0.25">
      <c r="M45424" t="s">
        <v>203</v>
      </c>
    </row>
    <row r="45425" spans="13:13" x14ac:dyDescent="0.25">
      <c r="M45425" t="s">
        <v>204</v>
      </c>
    </row>
    <row r="45426" spans="13:13" x14ac:dyDescent="0.25">
      <c r="M45426" t="s">
        <v>205</v>
      </c>
    </row>
    <row r="45427" spans="13:13" x14ac:dyDescent="0.25">
      <c r="M45427" t="s">
        <v>206</v>
      </c>
    </row>
    <row r="45428" spans="13:13" x14ac:dyDescent="0.25">
      <c r="M45428" t="s">
        <v>207</v>
      </c>
    </row>
    <row r="45429" spans="13:13" x14ac:dyDescent="0.25">
      <c r="M45429" t="s">
        <v>208</v>
      </c>
    </row>
    <row r="45430" spans="13:13" x14ac:dyDescent="0.25">
      <c r="M45430" t="s">
        <v>209</v>
      </c>
    </row>
    <row r="45431" spans="13:13" x14ac:dyDescent="0.25">
      <c r="M45431" t="s">
        <v>210</v>
      </c>
    </row>
    <row r="45451" spans="13:13" x14ac:dyDescent="0.25">
      <c r="M45451" t="s">
        <v>211</v>
      </c>
    </row>
    <row r="45452" spans="13:13" x14ac:dyDescent="0.25">
      <c r="M45452" t="s">
        <v>212</v>
      </c>
    </row>
    <row r="45453" spans="13:13" x14ac:dyDescent="0.25">
      <c r="M45453" t="s">
        <v>213</v>
      </c>
    </row>
    <row r="45454" spans="13:13" x14ac:dyDescent="0.25">
      <c r="M45454" t="s">
        <v>214</v>
      </c>
    </row>
    <row r="45455" spans="13:13" x14ac:dyDescent="0.25">
      <c r="M45455" t="s">
        <v>215</v>
      </c>
    </row>
    <row r="45456" spans="13:13" x14ac:dyDescent="0.25">
      <c r="M45456" t="s">
        <v>216</v>
      </c>
    </row>
    <row r="45457" spans="13:13" x14ac:dyDescent="0.25">
      <c r="M45457" t="s">
        <v>217</v>
      </c>
    </row>
    <row r="45458" spans="13:13" x14ac:dyDescent="0.25">
      <c r="M45458" t="s">
        <v>218</v>
      </c>
    </row>
    <row r="45459" spans="13:13" x14ac:dyDescent="0.25">
      <c r="M45459" t="s">
        <v>219</v>
      </c>
    </row>
    <row r="45460" spans="13:13" x14ac:dyDescent="0.25">
      <c r="M45460" t="s">
        <v>220</v>
      </c>
    </row>
    <row r="45464" spans="13:13" x14ac:dyDescent="0.25">
      <c r="M45464" t="s">
        <v>221</v>
      </c>
    </row>
    <row r="45465" spans="13:13" x14ac:dyDescent="0.25">
      <c r="M45465" t="s">
        <v>222</v>
      </c>
    </row>
    <row r="45466" spans="13:13" x14ac:dyDescent="0.25">
      <c r="M45466" t="s">
        <v>223</v>
      </c>
    </row>
    <row r="45467" spans="13:13" x14ac:dyDescent="0.25">
      <c r="M45467" t="s">
        <v>224</v>
      </c>
    </row>
    <row r="45468" spans="13:13" x14ac:dyDescent="0.25">
      <c r="M45468" t="s">
        <v>225</v>
      </c>
    </row>
    <row r="45469" spans="13:13" x14ac:dyDescent="0.25">
      <c r="M45469" t="s">
        <v>226</v>
      </c>
    </row>
    <row r="45470" spans="13:13" x14ac:dyDescent="0.25">
      <c r="M45470" t="s">
        <v>227</v>
      </c>
    </row>
    <row r="45471" spans="13:13" x14ac:dyDescent="0.25">
      <c r="M45471" t="s">
        <v>228</v>
      </c>
    </row>
    <row r="45472" spans="13:13" x14ac:dyDescent="0.25">
      <c r="M45472" t="s">
        <v>229</v>
      </c>
    </row>
    <row r="45473" spans="13:13" x14ac:dyDescent="0.25">
      <c r="M45473" t="s">
        <v>230</v>
      </c>
    </row>
    <row r="45474" spans="13:13" x14ac:dyDescent="0.25">
      <c r="M45474" t="s">
        <v>231</v>
      </c>
    </row>
    <row r="45475" spans="13:13" x14ac:dyDescent="0.25">
      <c r="M45475" t="s">
        <v>232</v>
      </c>
    </row>
    <row r="45476" spans="13:13" x14ac:dyDescent="0.25">
      <c r="M45476" t="s">
        <v>233</v>
      </c>
    </row>
    <row r="45477" spans="13:13" x14ac:dyDescent="0.25">
      <c r="M45477" t="s">
        <v>234</v>
      </c>
    </row>
    <row r="45478" spans="13:13" x14ac:dyDescent="0.25">
      <c r="M45478" t="s">
        <v>235</v>
      </c>
    </row>
    <row r="45479" spans="13:13" x14ac:dyDescent="0.25">
      <c r="M45479" t="s">
        <v>236</v>
      </c>
    </row>
    <row r="45480" spans="13:13" x14ac:dyDescent="0.25">
      <c r="M45480" t="s">
        <v>237</v>
      </c>
    </row>
    <row r="45481" spans="13:13" x14ac:dyDescent="0.25">
      <c r="M45481" t="s">
        <v>238</v>
      </c>
    </row>
    <row r="45482" spans="13:13" x14ac:dyDescent="0.25">
      <c r="M45482" t="s">
        <v>239</v>
      </c>
    </row>
    <row r="45483" spans="13:13" x14ac:dyDescent="0.25">
      <c r="M45483" t="s">
        <v>240</v>
      </c>
    </row>
    <row r="45484" spans="13:13" x14ac:dyDescent="0.25">
      <c r="M45484" t="s">
        <v>241</v>
      </c>
    </row>
    <row r="45485" spans="13:13" x14ac:dyDescent="0.25">
      <c r="M45485" t="s">
        <v>242</v>
      </c>
    </row>
    <row r="45486" spans="13:13" x14ac:dyDescent="0.25">
      <c r="M45486" t="s">
        <v>243</v>
      </c>
    </row>
    <row r="45487" spans="13:13" x14ac:dyDescent="0.25">
      <c r="M45487" t="s">
        <v>244</v>
      </c>
    </row>
    <row r="45488" spans="13:13" x14ac:dyDescent="0.25">
      <c r="M45488" t="s">
        <v>245</v>
      </c>
    </row>
    <row r="45489" spans="13:13" x14ac:dyDescent="0.25">
      <c r="M45489" t="s">
        <v>246</v>
      </c>
    </row>
    <row r="45490" spans="13:13" x14ac:dyDescent="0.25">
      <c r="M45490" t="s">
        <v>247</v>
      </c>
    </row>
    <row r="45491" spans="13:13" x14ac:dyDescent="0.25">
      <c r="M45491" t="s">
        <v>248</v>
      </c>
    </row>
    <row r="45492" spans="13:13" x14ac:dyDescent="0.25">
      <c r="M45492" t="s">
        <v>249</v>
      </c>
    </row>
    <row r="45493" spans="13:13" x14ac:dyDescent="0.25">
      <c r="M45493" t="s">
        <v>250</v>
      </c>
    </row>
    <row r="45494" spans="13:13" x14ac:dyDescent="0.25">
      <c r="M45494" t="s">
        <v>251</v>
      </c>
    </row>
    <row r="45495" spans="13:13" x14ac:dyDescent="0.25">
      <c r="M45495" t="s">
        <v>252</v>
      </c>
    </row>
    <row r="45496" spans="13:13" x14ac:dyDescent="0.25">
      <c r="M45496" t="s">
        <v>253</v>
      </c>
    </row>
    <row r="45506" spans="13:13" x14ac:dyDescent="0.25">
      <c r="M45506" t="s">
        <v>254</v>
      </c>
    </row>
    <row r="45507" spans="13:13" x14ac:dyDescent="0.25">
      <c r="M45507" t="s">
        <v>83</v>
      </c>
    </row>
    <row r="45521" spans="13:13" x14ac:dyDescent="0.25">
      <c r="M45521" t="s">
        <v>255</v>
      </c>
    </row>
    <row r="45522" spans="13:13" x14ac:dyDescent="0.25">
      <c r="M45522" t="s">
        <v>256</v>
      </c>
    </row>
    <row r="45523" spans="13:13" x14ac:dyDescent="0.25">
      <c r="M45523" t="s">
        <v>257</v>
      </c>
    </row>
    <row r="45524" spans="13:13" x14ac:dyDescent="0.25">
      <c r="M45524" t="s">
        <v>258</v>
      </c>
    </row>
    <row r="45525" spans="13:13" x14ac:dyDescent="0.25">
      <c r="M45525" t="s">
        <v>259</v>
      </c>
    </row>
    <row r="45526" spans="13:13" x14ac:dyDescent="0.25">
      <c r="M45526" t="s">
        <v>260</v>
      </c>
    </row>
    <row r="45527" spans="13:13" x14ac:dyDescent="0.25">
      <c r="M45527" t="s">
        <v>261</v>
      </c>
    </row>
    <row r="45528" spans="13:13" x14ac:dyDescent="0.25">
      <c r="M45528" t="s">
        <v>262</v>
      </c>
    </row>
    <row r="45529" spans="13:13" x14ac:dyDescent="0.25">
      <c r="M45529" t="s">
        <v>263</v>
      </c>
    </row>
    <row r="45580" spans="13:13" x14ac:dyDescent="0.25">
      <c r="M45580" t="s">
        <v>264</v>
      </c>
    </row>
    <row r="45581" spans="13:13" x14ac:dyDescent="0.25">
      <c r="M45581" t="s">
        <v>265</v>
      </c>
    </row>
    <row r="45582" spans="13:13" x14ac:dyDescent="0.25">
      <c r="M45582" t="s">
        <v>266</v>
      </c>
    </row>
    <row r="45631" spans="13:13" x14ac:dyDescent="0.25">
      <c r="M45631" t="s">
        <v>267</v>
      </c>
    </row>
    <row r="45632" spans="13:13" x14ac:dyDescent="0.25">
      <c r="M45632" t="s">
        <v>268</v>
      </c>
    </row>
    <row r="45633" spans="13:13" x14ac:dyDescent="0.25">
      <c r="M45633" t="s">
        <v>269</v>
      </c>
    </row>
    <row r="45634" spans="13:13" x14ac:dyDescent="0.25">
      <c r="M45634" t="s">
        <v>270</v>
      </c>
    </row>
    <row r="45635" spans="13:13" x14ac:dyDescent="0.25">
      <c r="M45635" t="s">
        <v>271</v>
      </c>
    </row>
    <row r="45636" spans="13:13" x14ac:dyDescent="0.25">
      <c r="M45636" t="s">
        <v>272</v>
      </c>
    </row>
    <row r="45657" spans="13:13" x14ac:dyDescent="0.25">
      <c r="M45657" t="s">
        <v>273</v>
      </c>
    </row>
    <row r="45658" spans="13:13" x14ac:dyDescent="0.25">
      <c r="M45658" t="s">
        <v>274</v>
      </c>
    </row>
    <row r="45661" spans="13:13" x14ac:dyDescent="0.25">
      <c r="M45661" t="s">
        <v>275</v>
      </c>
    </row>
    <row r="45662" spans="13:13" x14ac:dyDescent="0.25">
      <c r="M45662" t="s">
        <v>276</v>
      </c>
    </row>
    <row r="45663" spans="13:13" x14ac:dyDescent="0.25">
      <c r="M45663" t="s">
        <v>277</v>
      </c>
    </row>
    <row r="45668" spans="13:13" x14ac:dyDescent="0.25">
      <c r="M45668" t="s">
        <v>278</v>
      </c>
    </row>
    <row r="45669" spans="13:13" x14ac:dyDescent="0.25">
      <c r="M45669" t="s">
        <v>279</v>
      </c>
    </row>
    <row r="45685" spans="13:13" x14ac:dyDescent="0.25">
      <c r="M45685" t="s">
        <v>203</v>
      </c>
    </row>
    <row r="45686" spans="13:13" x14ac:dyDescent="0.25">
      <c r="M45686" t="s">
        <v>204</v>
      </c>
    </row>
    <row r="45687" spans="13:13" x14ac:dyDescent="0.25">
      <c r="M45687" t="s">
        <v>205</v>
      </c>
    </row>
    <row r="45688" spans="13:13" x14ac:dyDescent="0.25">
      <c r="M45688" t="s">
        <v>206</v>
      </c>
    </row>
    <row r="45689" spans="13:13" x14ac:dyDescent="0.25">
      <c r="M45689" t="s">
        <v>207</v>
      </c>
    </row>
    <row r="45690" spans="13:13" x14ac:dyDescent="0.25">
      <c r="M45690" t="s">
        <v>208</v>
      </c>
    </row>
    <row r="45691" spans="13:13" x14ac:dyDescent="0.25">
      <c r="M45691" t="s">
        <v>209</v>
      </c>
    </row>
    <row r="45692" spans="13:13" x14ac:dyDescent="0.25">
      <c r="M45692" t="s">
        <v>210</v>
      </c>
    </row>
    <row r="45712" spans="13:13" x14ac:dyDescent="0.25">
      <c r="M45712" t="s">
        <v>211</v>
      </c>
    </row>
    <row r="45713" spans="13:13" x14ac:dyDescent="0.25">
      <c r="M45713" t="s">
        <v>212</v>
      </c>
    </row>
    <row r="45714" spans="13:13" x14ac:dyDescent="0.25">
      <c r="M45714" t="s">
        <v>213</v>
      </c>
    </row>
    <row r="45715" spans="13:13" x14ac:dyDescent="0.25">
      <c r="M45715" t="s">
        <v>214</v>
      </c>
    </row>
    <row r="45716" spans="13:13" x14ac:dyDescent="0.25">
      <c r="M45716" t="s">
        <v>215</v>
      </c>
    </row>
    <row r="45717" spans="13:13" x14ac:dyDescent="0.25">
      <c r="M45717" t="s">
        <v>216</v>
      </c>
    </row>
    <row r="45718" spans="13:13" x14ac:dyDescent="0.25">
      <c r="M45718" t="s">
        <v>217</v>
      </c>
    </row>
    <row r="45719" spans="13:13" x14ac:dyDescent="0.25">
      <c r="M45719" t="s">
        <v>218</v>
      </c>
    </row>
    <row r="45720" spans="13:13" x14ac:dyDescent="0.25">
      <c r="M45720" t="s">
        <v>219</v>
      </c>
    </row>
    <row r="45721" spans="13:13" x14ac:dyDescent="0.25">
      <c r="M45721" t="s">
        <v>220</v>
      </c>
    </row>
    <row r="45725" spans="13:13" x14ac:dyDescent="0.25">
      <c r="M45725" t="s">
        <v>221</v>
      </c>
    </row>
    <row r="45726" spans="13:13" x14ac:dyDescent="0.25">
      <c r="M45726" t="s">
        <v>222</v>
      </c>
    </row>
    <row r="45727" spans="13:13" x14ac:dyDescent="0.25">
      <c r="M45727" t="s">
        <v>223</v>
      </c>
    </row>
    <row r="45728" spans="13:13" x14ac:dyDescent="0.25">
      <c r="M45728" t="s">
        <v>224</v>
      </c>
    </row>
    <row r="45729" spans="13:13" x14ac:dyDescent="0.25">
      <c r="M45729" t="s">
        <v>225</v>
      </c>
    </row>
    <row r="45730" spans="13:13" x14ac:dyDescent="0.25">
      <c r="M45730" t="s">
        <v>226</v>
      </c>
    </row>
    <row r="45731" spans="13:13" x14ac:dyDescent="0.25">
      <c r="M45731" t="s">
        <v>227</v>
      </c>
    </row>
    <row r="45732" spans="13:13" x14ac:dyDescent="0.25">
      <c r="M45732" t="s">
        <v>228</v>
      </c>
    </row>
    <row r="45733" spans="13:13" x14ac:dyDescent="0.25">
      <c r="M45733" t="s">
        <v>229</v>
      </c>
    </row>
    <row r="45734" spans="13:13" x14ac:dyDescent="0.25">
      <c r="M45734" t="s">
        <v>230</v>
      </c>
    </row>
    <row r="45735" spans="13:13" x14ac:dyDescent="0.25">
      <c r="M45735" t="s">
        <v>231</v>
      </c>
    </row>
    <row r="45736" spans="13:13" x14ac:dyDescent="0.25">
      <c r="M45736" t="s">
        <v>232</v>
      </c>
    </row>
    <row r="45737" spans="13:13" x14ac:dyDescent="0.25">
      <c r="M45737" t="s">
        <v>233</v>
      </c>
    </row>
    <row r="45738" spans="13:13" x14ac:dyDescent="0.25">
      <c r="M45738" t="s">
        <v>234</v>
      </c>
    </row>
    <row r="45739" spans="13:13" x14ac:dyDescent="0.25">
      <c r="M45739" t="s">
        <v>235</v>
      </c>
    </row>
    <row r="45740" spans="13:13" x14ac:dyDescent="0.25">
      <c r="M45740" t="s">
        <v>236</v>
      </c>
    </row>
    <row r="45741" spans="13:13" x14ac:dyDescent="0.25">
      <c r="M45741" t="s">
        <v>237</v>
      </c>
    </row>
    <row r="45742" spans="13:13" x14ac:dyDescent="0.25">
      <c r="M45742" t="s">
        <v>238</v>
      </c>
    </row>
    <row r="45743" spans="13:13" x14ac:dyDescent="0.25">
      <c r="M45743" t="s">
        <v>239</v>
      </c>
    </row>
    <row r="45744" spans="13:13" x14ac:dyDescent="0.25">
      <c r="M45744" t="s">
        <v>240</v>
      </c>
    </row>
    <row r="45745" spans="13:13" x14ac:dyDescent="0.25">
      <c r="M45745" t="s">
        <v>241</v>
      </c>
    </row>
    <row r="45746" spans="13:13" x14ac:dyDescent="0.25">
      <c r="M45746" t="s">
        <v>242</v>
      </c>
    </row>
    <row r="45747" spans="13:13" x14ac:dyDescent="0.25">
      <c r="M45747" t="s">
        <v>243</v>
      </c>
    </row>
    <row r="45748" spans="13:13" x14ac:dyDescent="0.25">
      <c r="M45748" t="s">
        <v>244</v>
      </c>
    </row>
    <row r="45749" spans="13:13" x14ac:dyDescent="0.25">
      <c r="M45749" t="s">
        <v>245</v>
      </c>
    </row>
    <row r="45750" spans="13:13" x14ac:dyDescent="0.25">
      <c r="M45750" t="s">
        <v>246</v>
      </c>
    </row>
    <row r="45751" spans="13:13" x14ac:dyDescent="0.25">
      <c r="M45751" t="s">
        <v>247</v>
      </c>
    </row>
    <row r="45752" spans="13:13" x14ac:dyDescent="0.25">
      <c r="M45752" t="s">
        <v>248</v>
      </c>
    </row>
    <row r="45753" spans="13:13" x14ac:dyDescent="0.25">
      <c r="M45753" t="s">
        <v>249</v>
      </c>
    </row>
    <row r="45754" spans="13:13" x14ac:dyDescent="0.25">
      <c r="M45754" t="s">
        <v>250</v>
      </c>
    </row>
    <row r="45755" spans="13:13" x14ac:dyDescent="0.25">
      <c r="M45755" t="s">
        <v>251</v>
      </c>
    </row>
    <row r="45756" spans="13:13" x14ac:dyDescent="0.25">
      <c r="M45756" t="s">
        <v>252</v>
      </c>
    </row>
    <row r="45757" spans="13:13" x14ac:dyDescent="0.25">
      <c r="M45757" t="s">
        <v>253</v>
      </c>
    </row>
    <row r="45767" spans="13:13" x14ac:dyDescent="0.25">
      <c r="M45767" t="s">
        <v>254</v>
      </c>
    </row>
    <row r="45768" spans="13:13" x14ac:dyDescent="0.25">
      <c r="M45768" t="s">
        <v>83</v>
      </c>
    </row>
    <row r="45782" spans="13:13" x14ac:dyDescent="0.25">
      <c r="M45782" t="s">
        <v>255</v>
      </c>
    </row>
    <row r="45783" spans="13:13" x14ac:dyDescent="0.25">
      <c r="M45783" t="s">
        <v>256</v>
      </c>
    </row>
    <row r="45784" spans="13:13" x14ac:dyDescent="0.25">
      <c r="M45784" t="s">
        <v>257</v>
      </c>
    </row>
    <row r="45785" spans="13:13" x14ac:dyDescent="0.25">
      <c r="M45785" t="s">
        <v>258</v>
      </c>
    </row>
    <row r="45786" spans="13:13" x14ac:dyDescent="0.25">
      <c r="M45786" t="s">
        <v>259</v>
      </c>
    </row>
    <row r="45787" spans="13:13" x14ac:dyDescent="0.25">
      <c r="M45787" t="s">
        <v>260</v>
      </c>
    </row>
    <row r="45788" spans="13:13" x14ac:dyDescent="0.25">
      <c r="M45788" t="s">
        <v>261</v>
      </c>
    </row>
    <row r="45789" spans="13:13" x14ac:dyDescent="0.25">
      <c r="M45789" t="s">
        <v>262</v>
      </c>
    </row>
    <row r="45790" spans="13:13" x14ac:dyDescent="0.25">
      <c r="M45790" t="s">
        <v>263</v>
      </c>
    </row>
    <row r="45841" spans="13:13" x14ac:dyDescent="0.25">
      <c r="M45841" t="s">
        <v>264</v>
      </c>
    </row>
    <row r="45842" spans="13:13" x14ac:dyDescent="0.25">
      <c r="M45842" t="s">
        <v>265</v>
      </c>
    </row>
    <row r="45843" spans="13:13" x14ac:dyDescent="0.25">
      <c r="M45843" t="s">
        <v>266</v>
      </c>
    </row>
    <row r="45892" spans="13:13" x14ac:dyDescent="0.25">
      <c r="M45892" t="s">
        <v>267</v>
      </c>
    </row>
    <row r="45893" spans="13:13" x14ac:dyDescent="0.25">
      <c r="M45893" t="s">
        <v>268</v>
      </c>
    </row>
    <row r="45894" spans="13:13" x14ac:dyDescent="0.25">
      <c r="M45894" t="s">
        <v>269</v>
      </c>
    </row>
    <row r="45895" spans="13:13" x14ac:dyDescent="0.25">
      <c r="M45895" t="s">
        <v>270</v>
      </c>
    </row>
    <row r="45896" spans="13:13" x14ac:dyDescent="0.25">
      <c r="M45896" t="s">
        <v>271</v>
      </c>
    </row>
    <row r="45897" spans="13:13" x14ac:dyDescent="0.25">
      <c r="M45897" t="s">
        <v>272</v>
      </c>
    </row>
    <row r="45918" spans="13:13" x14ac:dyDescent="0.25">
      <c r="M45918" t="s">
        <v>273</v>
      </c>
    </row>
    <row r="45919" spans="13:13" x14ac:dyDescent="0.25">
      <c r="M45919" t="s">
        <v>274</v>
      </c>
    </row>
    <row r="45922" spans="13:13" x14ac:dyDescent="0.25">
      <c r="M45922" t="s">
        <v>275</v>
      </c>
    </row>
    <row r="45923" spans="13:13" x14ac:dyDescent="0.25">
      <c r="M45923" t="s">
        <v>276</v>
      </c>
    </row>
    <row r="45924" spans="13:13" x14ac:dyDescent="0.25">
      <c r="M45924" t="s">
        <v>277</v>
      </c>
    </row>
    <row r="45929" spans="13:13" x14ac:dyDescent="0.25">
      <c r="M45929" t="s">
        <v>278</v>
      </c>
    </row>
    <row r="45930" spans="13:13" x14ac:dyDescent="0.25">
      <c r="M45930" t="s">
        <v>279</v>
      </c>
    </row>
    <row r="45946" spans="13:13" x14ac:dyDescent="0.25">
      <c r="M45946" t="s">
        <v>203</v>
      </c>
    </row>
    <row r="45947" spans="13:13" x14ac:dyDescent="0.25">
      <c r="M45947" t="s">
        <v>204</v>
      </c>
    </row>
    <row r="45948" spans="13:13" x14ac:dyDescent="0.25">
      <c r="M45948" t="s">
        <v>205</v>
      </c>
    </row>
    <row r="45949" spans="13:13" x14ac:dyDescent="0.25">
      <c r="M45949" t="s">
        <v>206</v>
      </c>
    </row>
    <row r="45950" spans="13:13" x14ac:dyDescent="0.25">
      <c r="M45950" t="s">
        <v>207</v>
      </c>
    </row>
    <row r="45951" spans="13:13" x14ac:dyDescent="0.25">
      <c r="M45951" t="s">
        <v>208</v>
      </c>
    </row>
    <row r="45952" spans="13:13" x14ac:dyDescent="0.25">
      <c r="M45952" t="s">
        <v>209</v>
      </c>
    </row>
    <row r="45953" spans="13:13" x14ac:dyDescent="0.25">
      <c r="M45953" t="s">
        <v>210</v>
      </c>
    </row>
    <row r="45973" spans="13:13" x14ac:dyDescent="0.25">
      <c r="M45973" t="s">
        <v>211</v>
      </c>
    </row>
    <row r="45974" spans="13:13" x14ac:dyDescent="0.25">
      <c r="M45974" t="s">
        <v>212</v>
      </c>
    </row>
    <row r="45975" spans="13:13" x14ac:dyDescent="0.25">
      <c r="M45975" t="s">
        <v>213</v>
      </c>
    </row>
    <row r="45976" spans="13:13" x14ac:dyDescent="0.25">
      <c r="M45976" t="s">
        <v>214</v>
      </c>
    </row>
    <row r="45977" spans="13:13" x14ac:dyDescent="0.25">
      <c r="M45977" t="s">
        <v>215</v>
      </c>
    </row>
    <row r="45978" spans="13:13" x14ac:dyDescent="0.25">
      <c r="M45978" t="s">
        <v>216</v>
      </c>
    </row>
    <row r="45979" spans="13:13" x14ac:dyDescent="0.25">
      <c r="M45979" t="s">
        <v>217</v>
      </c>
    </row>
    <row r="45980" spans="13:13" x14ac:dyDescent="0.25">
      <c r="M45980" t="s">
        <v>218</v>
      </c>
    </row>
    <row r="45981" spans="13:13" x14ac:dyDescent="0.25">
      <c r="M45981" t="s">
        <v>219</v>
      </c>
    </row>
    <row r="45982" spans="13:13" x14ac:dyDescent="0.25">
      <c r="M45982" t="s">
        <v>220</v>
      </c>
    </row>
    <row r="45986" spans="13:13" x14ac:dyDescent="0.25">
      <c r="M45986" t="s">
        <v>221</v>
      </c>
    </row>
    <row r="45987" spans="13:13" x14ac:dyDescent="0.25">
      <c r="M45987" t="s">
        <v>222</v>
      </c>
    </row>
    <row r="45988" spans="13:13" x14ac:dyDescent="0.25">
      <c r="M45988" t="s">
        <v>223</v>
      </c>
    </row>
    <row r="45989" spans="13:13" x14ac:dyDescent="0.25">
      <c r="M45989" t="s">
        <v>224</v>
      </c>
    </row>
    <row r="45990" spans="13:13" x14ac:dyDescent="0.25">
      <c r="M45990" t="s">
        <v>225</v>
      </c>
    </row>
    <row r="45991" spans="13:13" x14ac:dyDescent="0.25">
      <c r="M45991" t="s">
        <v>226</v>
      </c>
    </row>
    <row r="45992" spans="13:13" x14ac:dyDescent="0.25">
      <c r="M45992" t="s">
        <v>227</v>
      </c>
    </row>
    <row r="45993" spans="13:13" x14ac:dyDescent="0.25">
      <c r="M45993" t="s">
        <v>228</v>
      </c>
    </row>
    <row r="45994" spans="13:13" x14ac:dyDescent="0.25">
      <c r="M45994" t="s">
        <v>229</v>
      </c>
    </row>
    <row r="45995" spans="13:13" x14ac:dyDescent="0.25">
      <c r="M45995" t="s">
        <v>230</v>
      </c>
    </row>
    <row r="45996" spans="13:13" x14ac:dyDescent="0.25">
      <c r="M45996" t="s">
        <v>231</v>
      </c>
    </row>
    <row r="45997" spans="13:13" x14ac:dyDescent="0.25">
      <c r="M45997" t="s">
        <v>232</v>
      </c>
    </row>
    <row r="45998" spans="13:13" x14ac:dyDescent="0.25">
      <c r="M45998" t="s">
        <v>233</v>
      </c>
    </row>
    <row r="45999" spans="13:13" x14ac:dyDescent="0.25">
      <c r="M45999" t="s">
        <v>234</v>
      </c>
    </row>
    <row r="46000" spans="13:13" x14ac:dyDescent="0.25">
      <c r="M46000" t="s">
        <v>235</v>
      </c>
    </row>
    <row r="46001" spans="13:13" x14ac:dyDescent="0.25">
      <c r="M46001" t="s">
        <v>236</v>
      </c>
    </row>
    <row r="46002" spans="13:13" x14ac:dyDescent="0.25">
      <c r="M46002" t="s">
        <v>237</v>
      </c>
    </row>
    <row r="46003" spans="13:13" x14ac:dyDescent="0.25">
      <c r="M46003" t="s">
        <v>238</v>
      </c>
    </row>
    <row r="46004" spans="13:13" x14ac:dyDescent="0.25">
      <c r="M46004" t="s">
        <v>239</v>
      </c>
    </row>
    <row r="46005" spans="13:13" x14ac:dyDescent="0.25">
      <c r="M46005" t="s">
        <v>240</v>
      </c>
    </row>
    <row r="46006" spans="13:13" x14ac:dyDescent="0.25">
      <c r="M46006" t="s">
        <v>241</v>
      </c>
    </row>
    <row r="46007" spans="13:13" x14ac:dyDescent="0.25">
      <c r="M46007" t="s">
        <v>242</v>
      </c>
    </row>
    <row r="46008" spans="13:13" x14ac:dyDescent="0.25">
      <c r="M46008" t="s">
        <v>243</v>
      </c>
    </row>
    <row r="46009" spans="13:13" x14ac:dyDescent="0.25">
      <c r="M46009" t="s">
        <v>244</v>
      </c>
    </row>
    <row r="46010" spans="13:13" x14ac:dyDescent="0.25">
      <c r="M46010" t="s">
        <v>245</v>
      </c>
    </row>
    <row r="46011" spans="13:13" x14ac:dyDescent="0.25">
      <c r="M46011" t="s">
        <v>246</v>
      </c>
    </row>
    <row r="46012" spans="13:13" x14ac:dyDescent="0.25">
      <c r="M46012" t="s">
        <v>247</v>
      </c>
    </row>
    <row r="46013" spans="13:13" x14ac:dyDescent="0.25">
      <c r="M46013" t="s">
        <v>248</v>
      </c>
    </row>
    <row r="46014" spans="13:13" x14ac:dyDescent="0.25">
      <c r="M46014" t="s">
        <v>249</v>
      </c>
    </row>
    <row r="46015" spans="13:13" x14ac:dyDescent="0.25">
      <c r="M46015" t="s">
        <v>250</v>
      </c>
    </row>
    <row r="46016" spans="13:13" x14ac:dyDescent="0.25">
      <c r="M46016" t="s">
        <v>251</v>
      </c>
    </row>
    <row r="46017" spans="13:13" x14ac:dyDescent="0.25">
      <c r="M46017" t="s">
        <v>252</v>
      </c>
    </row>
    <row r="46018" spans="13:13" x14ac:dyDescent="0.25">
      <c r="M46018" t="s">
        <v>253</v>
      </c>
    </row>
    <row r="46028" spans="13:13" x14ac:dyDescent="0.25">
      <c r="M46028" t="s">
        <v>254</v>
      </c>
    </row>
    <row r="46029" spans="13:13" x14ac:dyDescent="0.25">
      <c r="M46029" t="s">
        <v>83</v>
      </c>
    </row>
    <row r="46043" spans="13:13" x14ac:dyDescent="0.25">
      <c r="M46043" t="s">
        <v>255</v>
      </c>
    </row>
    <row r="46044" spans="13:13" x14ac:dyDescent="0.25">
      <c r="M46044" t="s">
        <v>256</v>
      </c>
    </row>
    <row r="46045" spans="13:13" x14ac:dyDescent="0.25">
      <c r="M46045" t="s">
        <v>257</v>
      </c>
    </row>
    <row r="46046" spans="13:13" x14ac:dyDescent="0.25">
      <c r="M46046" t="s">
        <v>258</v>
      </c>
    </row>
    <row r="46047" spans="13:13" x14ac:dyDescent="0.25">
      <c r="M46047" t="s">
        <v>259</v>
      </c>
    </row>
    <row r="46048" spans="13:13" x14ac:dyDescent="0.25">
      <c r="M46048" t="s">
        <v>260</v>
      </c>
    </row>
    <row r="46049" spans="13:13" x14ac:dyDescent="0.25">
      <c r="M46049" t="s">
        <v>261</v>
      </c>
    </row>
    <row r="46050" spans="13:13" x14ac:dyDescent="0.25">
      <c r="M46050" t="s">
        <v>262</v>
      </c>
    </row>
    <row r="46051" spans="13:13" x14ac:dyDescent="0.25">
      <c r="M46051" t="s">
        <v>263</v>
      </c>
    </row>
    <row r="46102" spans="13:13" x14ac:dyDescent="0.25">
      <c r="M46102" t="s">
        <v>264</v>
      </c>
    </row>
    <row r="46103" spans="13:13" x14ac:dyDescent="0.25">
      <c r="M46103" t="s">
        <v>265</v>
      </c>
    </row>
    <row r="46104" spans="13:13" x14ac:dyDescent="0.25">
      <c r="M46104" t="s">
        <v>266</v>
      </c>
    </row>
    <row r="46153" spans="13:13" x14ac:dyDescent="0.25">
      <c r="M46153" t="s">
        <v>267</v>
      </c>
    </row>
    <row r="46154" spans="13:13" x14ac:dyDescent="0.25">
      <c r="M46154" t="s">
        <v>268</v>
      </c>
    </row>
    <row r="46155" spans="13:13" x14ac:dyDescent="0.25">
      <c r="M46155" t="s">
        <v>269</v>
      </c>
    </row>
    <row r="46156" spans="13:13" x14ac:dyDescent="0.25">
      <c r="M46156" t="s">
        <v>270</v>
      </c>
    </row>
    <row r="46157" spans="13:13" x14ac:dyDescent="0.25">
      <c r="M46157" t="s">
        <v>271</v>
      </c>
    </row>
    <row r="46158" spans="13:13" x14ac:dyDescent="0.25">
      <c r="M46158" t="s">
        <v>272</v>
      </c>
    </row>
    <row r="46179" spans="13:13" x14ac:dyDescent="0.25">
      <c r="M46179" t="s">
        <v>273</v>
      </c>
    </row>
    <row r="46180" spans="13:13" x14ac:dyDescent="0.25">
      <c r="M46180" t="s">
        <v>274</v>
      </c>
    </row>
    <row r="46183" spans="13:13" x14ac:dyDescent="0.25">
      <c r="M46183" t="s">
        <v>275</v>
      </c>
    </row>
    <row r="46184" spans="13:13" x14ac:dyDescent="0.25">
      <c r="M46184" t="s">
        <v>276</v>
      </c>
    </row>
    <row r="46185" spans="13:13" x14ac:dyDescent="0.25">
      <c r="M46185" t="s">
        <v>277</v>
      </c>
    </row>
    <row r="46190" spans="13:13" x14ac:dyDescent="0.25">
      <c r="M46190" t="s">
        <v>278</v>
      </c>
    </row>
    <row r="46191" spans="13:13" x14ac:dyDescent="0.25">
      <c r="M46191" t="s">
        <v>279</v>
      </c>
    </row>
    <row r="46207" spans="13:13" x14ac:dyDescent="0.25">
      <c r="M46207" t="s">
        <v>203</v>
      </c>
    </row>
    <row r="46208" spans="13:13" x14ac:dyDescent="0.25">
      <c r="M46208" t="s">
        <v>204</v>
      </c>
    </row>
    <row r="46209" spans="13:13" x14ac:dyDescent="0.25">
      <c r="M46209" t="s">
        <v>205</v>
      </c>
    </row>
    <row r="46210" spans="13:13" x14ac:dyDescent="0.25">
      <c r="M46210" t="s">
        <v>206</v>
      </c>
    </row>
    <row r="46211" spans="13:13" x14ac:dyDescent="0.25">
      <c r="M46211" t="s">
        <v>207</v>
      </c>
    </row>
    <row r="46212" spans="13:13" x14ac:dyDescent="0.25">
      <c r="M46212" t="s">
        <v>208</v>
      </c>
    </row>
    <row r="46213" spans="13:13" x14ac:dyDescent="0.25">
      <c r="M46213" t="s">
        <v>209</v>
      </c>
    </row>
    <row r="46214" spans="13:13" x14ac:dyDescent="0.25">
      <c r="M46214" t="s">
        <v>210</v>
      </c>
    </row>
    <row r="46234" spans="13:13" x14ac:dyDescent="0.25">
      <c r="M46234" t="s">
        <v>211</v>
      </c>
    </row>
    <row r="46235" spans="13:13" x14ac:dyDescent="0.25">
      <c r="M46235" t="s">
        <v>212</v>
      </c>
    </row>
    <row r="46236" spans="13:13" x14ac:dyDescent="0.25">
      <c r="M46236" t="s">
        <v>213</v>
      </c>
    </row>
    <row r="46237" spans="13:13" x14ac:dyDescent="0.25">
      <c r="M46237" t="s">
        <v>214</v>
      </c>
    </row>
    <row r="46238" spans="13:13" x14ac:dyDescent="0.25">
      <c r="M46238" t="s">
        <v>215</v>
      </c>
    </row>
    <row r="46239" spans="13:13" x14ac:dyDescent="0.25">
      <c r="M46239" t="s">
        <v>216</v>
      </c>
    </row>
    <row r="46240" spans="13:13" x14ac:dyDescent="0.25">
      <c r="M46240" t="s">
        <v>217</v>
      </c>
    </row>
    <row r="46241" spans="13:13" x14ac:dyDescent="0.25">
      <c r="M46241" t="s">
        <v>218</v>
      </c>
    </row>
    <row r="46242" spans="13:13" x14ac:dyDescent="0.25">
      <c r="M46242" t="s">
        <v>219</v>
      </c>
    </row>
    <row r="46243" spans="13:13" x14ac:dyDescent="0.25">
      <c r="M46243" t="s">
        <v>220</v>
      </c>
    </row>
    <row r="46247" spans="13:13" x14ac:dyDescent="0.25">
      <c r="M46247" t="s">
        <v>221</v>
      </c>
    </row>
    <row r="46248" spans="13:13" x14ac:dyDescent="0.25">
      <c r="M46248" t="s">
        <v>222</v>
      </c>
    </row>
    <row r="46249" spans="13:13" x14ac:dyDescent="0.25">
      <c r="M46249" t="s">
        <v>223</v>
      </c>
    </row>
    <row r="46250" spans="13:13" x14ac:dyDescent="0.25">
      <c r="M46250" t="s">
        <v>224</v>
      </c>
    </row>
    <row r="46251" spans="13:13" x14ac:dyDescent="0.25">
      <c r="M46251" t="s">
        <v>225</v>
      </c>
    </row>
    <row r="46252" spans="13:13" x14ac:dyDescent="0.25">
      <c r="M46252" t="s">
        <v>226</v>
      </c>
    </row>
    <row r="46253" spans="13:13" x14ac:dyDescent="0.25">
      <c r="M46253" t="s">
        <v>227</v>
      </c>
    </row>
    <row r="46254" spans="13:13" x14ac:dyDescent="0.25">
      <c r="M46254" t="s">
        <v>228</v>
      </c>
    </row>
    <row r="46255" spans="13:13" x14ac:dyDescent="0.25">
      <c r="M46255" t="s">
        <v>229</v>
      </c>
    </row>
    <row r="46256" spans="13:13" x14ac:dyDescent="0.25">
      <c r="M46256" t="s">
        <v>230</v>
      </c>
    </row>
    <row r="46257" spans="13:13" x14ac:dyDescent="0.25">
      <c r="M46257" t="s">
        <v>231</v>
      </c>
    </row>
    <row r="46258" spans="13:13" x14ac:dyDescent="0.25">
      <c r="M46258" t="s">
        <v>232</v>
      </c>
    </row>
    <row r="46259" spans="13:13" x14ac:dyDescent="0.25">
      <c r="M46259" t="s">
        <v>233</v>
      </c>
    </row>
    <row r="46260" spans="13:13" x14ac:dyDescent="0.25">
      <c r="M46260" t="s">
        <v>234</v>
      </c>
    </row>
    <row r="46261" spans="13:13" x14ac:dyDescent="0.25">
      <c r="M46261" t="s">
        <v>235</v>
      </c>
    </row>
    <row r="46262" spans="13:13" x14ac:dyDescent="0.25">
      <c r="M46262" t="s">
        <v>236</v>
      </c>
    </row>
    <row r="46263" spans="13:13" x14ac:dyDescent="0.25">
      <c r="M46263" t="s">
        <v>237</v>
      </c>
    </row>
    <row r="46264" spans="13:13" x14ac:dyDescent="0.25">
      <c r="M46264" t="s">
        <v>238</v>
      </c>
    </row>
    <row r="46265" spans="13:13" x14ac:dyDescent="0.25">
      <c r="M46265" t="s">
        <v>239</v>
      </c>
    </row>
    <row r="46266" spans="13:13" x14ac:dyDescent="0.25">
      <c r="M46266" t="s">
        <v>240</v>
      </c>
    </row>
    <row r="46267" spans="13:13" x14ac:dyDescent="0.25">
      <c r="M46267" t="s">
        <v>241</v>
      </c>
    </row>
    <row r="46268" spans="13:13" x14ac:dyDescent="0.25">
      <c r="M46268" t="s">
        <v>242</v>
      </c>
    </row>
    <row r="46269" spans="13:13" x14ac:dyDescent="0.25">
      <c r="M46269" t="s">
        <v>243</v>
      </c>
    </row>
    <row r="46270" spans="13:13" x14ac:dyDescent="0.25">
      <c r="M46270" t="s">
        <v>244</v>
      </c>
    </row>
    <row r="46271" spans="13:13" x14ac:dyDescent="0.25">
      <c r="M46271" t="s">
        <v>245</v>
      </c>
    </row>
    <row r="46272" spans="13:13" x14ac:dyDescent="0.25">
      <c r="M46272" t="s">
        <v>246</v>
      </c>
    </row>
    <row r="46273" spans="13:13" x14ac:dyDescent="0.25">
      <c r="M46273" t="s">
        <v>247</v>
      </c>
    </row>
    <row r="46274" spans="13:13" x14ac:dyDescent="0.25">
      <c r="M46274" t="s">
        <v>248</v>
      </c>
    </row>
    <row r="46275" spans="13:13" x14ac:dyDescent="0.25">
      <c r="M46275" t="s">
        <v>249</v>
      </c>
    </row>
    <row r="46276" spans="13:13" x14ac:dyDescent="0.25">
      <c r="M46276" t="s">
        <v>250</v>
      </c>
    </row>
    <row r="46277" spans="13:13" x14ac:dyDescent="0.25">
      <c r="M46277" t="s">
        <v>251</v>
      </c>
    </row>
    <row r="46278" spans="13:13" x14ac:dyDescent="0.25">
      <c r="M46278" t="s">
        <v>252</v>
      </c>
    </row>
    <row r="46279" spans="13:13" x14ac:dyDescent="0.25">
      <c r="M46279" t="s">
        <v>253</v>
      </c>
    </row>
    <row r="46289" spans="13:13" x14ac:dyDescent="0.25">
      <c r="M46289" t="s">
        <v>254</v>
      </c>
    </row>
    <row r="46290" spans="13:13" x14ac:dyDescent="0.25">
      <c r="M46290" t="s">
        <v>83</v>
      </c>
    </row>
    <row r="46304" spans="13:13" x14ac:dyDescent="0.25">
      <c r="M46304" t="s">
        <v>255</v>
      </c>
    </row>
    <row r="46305" spans="13:13" x14ac:dyDescent="0.25">
      <c r="M46305" t="s">
        <v>256</v>
      </c>
    </row>
    <row r="46306" spans="13:13" x14ac:dyDescent="0.25">
      <c r="M46306" t="s">
        <v>257</v>
      </c>
    </row>
    <row r="46307" spans="13:13" x14ac:dyDescent="0.25">
      <c r="M46307" t="s">
        <v>258</v>
      </c>
    </row>
    <row r="46308" spans="13:13" x14ac:dyDescent="0.25">
      <c r="M46308" t="s">
        <v>259</v>
      </c>
    </row>
    <row r="46309" spans="13:13" x14ac:dyDescent="0.25">
      <c r="M46309" t="s">
        <v>260</v>
      </c>
    </row>
    <row r="46310" spans="13:13" x14ac:dyDescent="0.25">
      <c r="M46310" t="s">
        <v>261</v>
      </c>
    </row>
    <row r="46311" spans="13:13" x14ac:dyDescent="0.25">
      <c r="M46311" t="s">
        <v>262</v>
      </c>
    </row>
    <row r="46312" spans="13:13" x14ac:dyDescent="0.25">
      <c r="M46312" t="s">
        <v>263</v>
      </c>
    </row>
    <row r="46363" spans="13:13" x14ac:dyDescent="0.25">
      <c r="M46363" t="s">
        <v>264</v>
      </c>
    </row>
    <row r="46364" spans="13:13" x14ac:dyDescent="0.25">
      <c r="M46364" t="s">
        <v>265</v>
      </c>
    </row>
    <row r="46365" spans="13:13" x14ac:dyDescent="0.25">
      <c r="M46365" t="s">
        <v>266</v>
      </c>
    </row>
    <row r="46414" spans="13:13" x14ac:dyDescent="0.25">
      <c r="M46414" t="s">
        <v>267</v>
      </c>
    </row>
    <row r="46415" spans="13:13" x14ac:dyDescent="0.25">
      <c r="M46415" t="s">
        <v>268</v>
      </c>
    </row>
    <row r="46416" spans="13:13" x14ac:dyDescent="0.25">
      <c r="M46416" t="s">
        <v>269</v>
      </c>
    </row>
    <row r="46417" spans="13:13" x14ac:dyDescent="0.25">
      <c r="M46417" t="s">
        <v>270</v>
      </c>
    </row>
    <row r="46418" spans="13:13" x14ac:dyDescent="0.25">
      <c r="M46418" t="s">
        <v>271</v>
      </c>
    </row>
    <row r="46419" spans="13:13" x14ac:dyDescent="0.25">
      <c r="M46419" t="s">
        <v>272</v>
      </c>
    </row>
    <row r="46440" spans="13:13" x14ac:dyDescent="0.25">
      <c r="M46440" t="s">
        <v>273</v>
      </c>
    </row>
    <row r="46441" spans="13:13" x14ac:dyDescent="0.25">
      <c r="M46441" t="s">
        <v>274</v>
      </c>
    </row>
    <row r="46444" spans="13:13" x14ac:dyDescent="0.25">
      <c r="M46444" t="s">
        <v>275</v>
      </c>
    </row>
    <row r="46445" spans="13:13" x14ac:dyDescent="0.25">
      <c r="M46445" t="s">
        <v>276</v>
      </c>
    </row>
    <row r="46446" spans="13:13" x14ac:dyDescent="0.25">
      <c r="M46446" t="s">
        <v>277</v>
      </c>
    </row>
    <row r="46451" spans="13:13" x14ac:dyDescent="0.25">
      <c r="M46451" t="s">
        <v>278</v>
      </c>
    </row>
    <row r="46452" spans="13:13" x14ac:dyDescent="0.25">
      <c r="M46452" t="s">
        <v>279</v>
      </c>
    </row>
    <row r="46468" spans="13:13" x14ac:dyDescent="0.25">
      <c r="M46468" t="s">
        <v>203</v>
      </c>
    </row>
    <row r="46469" spans="13:13" x14ac:dyDescent="0.25">
      <c r="M46469" t="s">
        <v>204</v>
      </c>
    </row>
    <row r="46470" spans="13:13" x14ac:dyDescent="0.25">
      <c r="M46470" t="s">
        <v>205</v>
      </c>
    </row>
    <row r="46471" spans="13:13" x14ac:dyDescent="0.25">
      <c r="M46471" t="s">
        <v>206</v>
      </c>
    </row>
    <row r="46472" spans="13:13" x14ac:dyDescent="0.25">
      <c r="M46472" t="s">
        <v>207</v>
      </c>
    </row>
    <row r="46473" spans="13:13" x14ac:dyDescent="0.25">
      <c r="M46473" t="s">
        <v>208</v>
      </c>
    </row>
    <row r="46474" spans="13:13" x14ac:dyDescent="0.25">
      <c r="M46474" t="s">
        <v>209</v>
      </c>
    </row>
    <row r="46475" spans="13:13" x14ac:dyDescent="0.25">
      <c r="M46475" t="s">
        <v>210</v>
      </c>
    </row>
    <row r="46495" spans="13:13" x14ac:dyDescent="0.25">
      <c r="M46495" t="s">
        <v>211</v>
      </c>
    </row>
    <row r="46496" spans="13:13" x14ac:dyDescent="0.25">
      <c r="M46496" t="s">
        <v>212</v>
      </c>
    </row>
    <row r="46497" spans="13:13" x14ac:dyDescent="0.25">
      <c r="M46497" t="s">
        <v>213</v>
      </c>
    </row>
    <row r="46498" spans="13:13" x14ac:dyDescent="0.25">
      <c r="M46498" t="s">
        <v>214</v>
      </c>
    </row>
    <row r="46499" spans="13:13" x14ac:dyDescent="0.25">
      <c r="M46499" t="s">
        <v>215</v>
      </c>
    </row>
    <row r="46500" spans="13:13" x14ac:dyDescent="0.25">
      <c r="M46500" t="s">
        <v>216</v>
      </c>
    </row>
    <row r="46501" spans="13:13" x14ac:dyDescent="0.25">
      <c r="M46501" t="s">
        <v>217</v>
      </c>
    </row>
    <row r="46502" spans="13:13" x14ac:dyDescent="0.25">
      <c r="M46502" t="s">
        <v>218</v>
      </c>
    </row>
    <row r="46503" spans="13:13" x14ac:dyDescent="0.25">
      <c r="M46503" t="s">
        <v>219</v>
      </c>
    </row>
    <row r="46504" spans="13:13" x14ac:dyDescent="0.25">
      <c r="M46504" t="s">
        <v>220</v>
      </c>
    </row>
    <row r="46508" spans="13:13" x14ac:dyDescent="0.25">
      <c r="M46508" t="s">
        <v>221</v>
      </c>
    </row>
    <row r="46509" spans="13:13" x14ac:dyDescent="0.25">
      <c r="M46509" t="s">
        <v>222</v>
      </c>
    </row>
    <row r="46510" spans="13:13" x14ac:dyDescent="0.25">
      <c r="M46510" t="s">
        <v>223</v>
      </c>
    </row>
    <row r="46511" spans="13:13" x14ac:dyDescent="0.25">
      <c r="M46511" t="s">
        <v>224</v>
      </c>
    </row>
    <row r="46512" spans="13:13" x14ac:dyDescent="0.25">
      <c r="M46512" t="s">
        <v>225</v>
      </c>
    </row>
    <row r="46513" spans="13:13" x14ac:dyDescent="0.25">
      <c r="M46513" t="s">
        <v>226</v>
      </c>
    </row>
    <row r="46514" spans="13:13" x14ac:dyDescent="0.25">
      <c r="M46514" t="s">
        <v>227</v>
      </c>
    </row>
    <row r="46515" spans="13:13" x14ac:dyDescent="0.25">
      <c r="M46515" t="s">
        <v>228</v>
      </c>
    </row>
    <row r="46516" spans="13:13" x14ac:dyDescent="0.25">
      <c r="M46516" t="s">
        <v>229</v>
      </c>
    </row>
    <row r="46517" spans="13:13" x14ac:dyDescent="0.25">
      <c r="M46517" t="s">
        <v>230</v>
      </c>
    </row>
    <row r="46518" spans="13:13" x14ac:dyDescent="0.25">
      <c r="M46518" t="s">
        <v>231</v>
      </c>
    </row>
    <row r="46519" spans="13:13" x14ac:dyDescent="0.25">
      <c r="M46519" t="s">
        <v>232</v>
      </c>
    </row>
    <row r="46520" spans="13:13" x14ac:dyDescent="0.25">
      <c r="M46520" t="s">
        <v>233</v>
      </c>
    </row>
    <row r="46521" spans="13:13" x14ac:dyDescent="0.25">
      <c r="M46521" t="s">
        <v>234</v>
      </c>
    </row>
    <row r="46522" spans="13:13" x14ac:dyDescent="0.25">
      <c r="M46522" t="s">
        <v>235</v>
      </c>
    </row>
    <row r="46523" spans="13:13" x14ac:dyDescent="0.25">
      <c r="M46523" t="s">
        <v>236</v>
      </c>
    </row>
    <row r="46524" spans="13:13" x14ac:dyDescent="0.25">
      <c r="M46524" t="s">
        <v>237</v>
      </c>
    </row>
    <row r="46525" spans="13:13" x14ac:dyDescent="0.25">
      <c r="M46525" t="s">
        <v>238</v>
      </c>
    </row>
    <row r="46526" spans="13:13" x14ac:dyDescent="0.25">
      <c r="M46526" t="s">
        <v>239</v>
      </c>
    </row>
    <row r="46527" spans="13:13" x14ac:dyDescent="0.25">
      <c r="M46527" t="s">
        <v>240</v>
      </c>
    </row>
    <row r="46528" spans="13:13" x14ac:dyDescent="0.25">
      <c r="M46528" t="s">
        <v>241</v>
      </c>
    </row>
    <row r="46529" spans="13:13" x14ac:dyDescent="0.25">
      <c r="M46529" t="s">
        <v>242</v>
      </c>
    </row>
    <row r="46530" spans="13:13" x14ac:dyDescent="0.25">
      <c r="M46530" t="s">
        <v>243</v>
      </c>
    </row>
    <row r="46531" spans="13:13" x14ac:dyDescent="0.25">
      <c r="M46531" t="s">
        <v>244</v>
      </c>
    </row>
    <row r="46532" spans="13:13" x14ac:dyDescent="0.25">
      <c r="M46532" t="s">
        <v>245</v>
      </c>
    </row>
    <row r="46533" spans="13:13" x14ac:dyDescent="0.25">
      <c r="M46533" t="s">
        <v>246</v>
      </c>
    </row>
    <row r="46534" spans="13:13" x14ac:dyDescent="0.25">
      <c r="M46534" t="s">
        <v>247</v>
      </c>
    </row>
    <row r="46535" spans="13:13" x14ac:dyDescent="0.25">
      <c r="M46535" t="s">
        <v>248</v>
      </c>
    </row>
    <row r="46536" spans="13:13" x14ac:dyDescent="0.25">
      <c r="M46536" t="s">
        <v>249</v>
      </c>
    </row>
    <row r="46537" spans="13:13" x14ac:dyDescent="0.25">
      <c r="M46537" t="s">
        <v>250</v>
      </c>
    </row>
    <row r="46538" spans="13:13" x14ac:dyDescent="0.25">
      <c r="M46538" t="s">
        <v>251</v>
      </c>
    </row>
    <row r="46539" spans="13:13" x14ac:dyDescent="0.25">
      <c r="M46539" t="s">
        <v>252</v>
      </c>
    </row>
    <row r="46540" spans="13:13" x14ac:dyDescent="0.25">
      <c r="M46540" t="s">
        <v>253</v>
      </c>
    </row>
    <row r="46550" spans="13:13" x14ac:dyDescent="0.25">
      <c r="M46550" t="s">
        <v>254</v>
      </c>
    </row>
    <row r="46551" spans="13:13" x14ac:dyDescent="0.25">
      <c r="M46551" t="s">
        <v>83</v>
      </c>
    </row>
    <row r="46565" spans="13:13" x14ac:dyDescent="0.25">
      <c r="M46565" t="s">
        <v>255</v>
      </c>
    </row>
    <row r="46566" spans="13:13" x14ac:dyDescent="0.25">
      <c r="M46566" t="s">
        <v>256</v>
      </c>
    </row>
    <row r="46567" spans="13:13" x14ac:dyDescent="0.25">
      <c r="M46567" t="s">
        <v>257</v>
      </c>
    </row>
    <row r="46568" spans="13:13" x14ac:dyDescent="0.25">
      <c r="M46568" t="s">
        <v>258</v>
      </c>
    </row>
    <row r="46569" spans="13:13" x14ac:dyDescent="0.25">
      <c r="M46569" t="s">
        <v>259</v>
      </c>
    </row>
    <row r="46570" spans="13:13" x14ac:dyDescent="0.25">
      <c r="M46570" t="s">
        <v>260</v>
      </c>
    </row>
    <row r="46571" spans="13:13" x14ac:dyDescent="0.25">
      <c r="M46571" t="s">
        <v>261</v>
      </c>
    </row>
    <row r="46572" spans="13:13" x14ac:dyDescent="0.25">
      <c r="M46572" t="s">
        <v>262</v>
      </c>
    </row>
    <row r="46573" spans="13:13" x14ac:dyDescent="0.25">
      <c r="M46573" t="s">
        <v>263</v>
      </c>
    </row>
    <row r="46624" spans="13:13" x14ac:dyDescent="0.25">
      <c r="M46624" t="s">
        <v>264</v>
      </c>
    </row>
    <row r="46625" spans="13:13" x14ac:dyDescent="0.25">
      <c r="M46625" t="s">
        <v>265</v>
      </c>
    </row>
    <row r="46626" spans="13:13" x14ac:dyDescent="0.25">
      <c r="M46626" t="s">
        <v>266</v>
      </c>
    </row>
    <row r="46675" spans="13:13" x14ac:dyDescent="0.25">
      <c r="M46675" t="s">
        <v>267</v>
      </c>
    </row>
    <row r="46676" spans="13:13" x14ac:dyDescent="0.25">
      <c r="M46676" t="s">
        <v>268</v>
      </c>
    </row>
    <row r="46677" spans="13:13" x14ac:dyDescent="0.25">
      <c r="M46677" t="s">
        <v>269</v>
      </c>
    </row>
    <row r="46678" spans="13:13" x14ac:dyDescent="0.25">
      <c r="M46678" t="s">
        <v>270</v>
      </c>
    </row>
    <row r="46679" spans="13:13" x14ac:dyDescent="0.25">
      <c r="M46679" t="s">
        <v>271</v>
      </c>
    </row>
    <row r="46680" spans="13:13" x14ac:dyDescent="0.25">
      <c r="M46680" t="s">
        <v>272</v>
      </c>
    </row>
    <row r="46701" spans="13:13" x14ac:dyDescent="0.25">
      <c r="M46701" t="s">
        <v>273</v>
      </c>
    </row>
    <row r="46702" spans="13:13" x14ac:dyDescent="0.25">
      <c r="M46702" t="s">
        <v>274</v>
      </c>
    </row>
    <row r="46705" spans="13:13" x14ac:dyDescent="0.25">
      <c r="M46705" t="s">
        <v>275</v>
      </c>
    </row>
    <row r="46706" spans="13:13" x14ac:dyDescent="0.25">
      <c r="M46706" t="s">
        <v>276</v>
      </c>
    </row>
    <row r="46707" spans="13:13" x14ac:dyDescent="0.25">
      <c r="M46707" t="s">
        <v>277</v>
      </c>
    </row>
    <row r="46712" spans="13:13" x14ac:dyDescent="0.25">
      <c r="M46712" t="s">
        <v>278</v>
      </c>
    </row>
    <row r="46713" spans="13:13" x14ac:dyDescent="0.25">
      <c r="M46713" t="s">
        <v>279</v>
      </c>
    </row>
    <row r="46729" spans="13:13" x14ac:dyDescent="0.25">
      <c r="M46729" t="s">
        <v>203</v>
      </c>
    </row>
    <row r="46730" spans="13:13" x14ac:dyDescent="0.25">
      <c r="M46730" t="s">
        <v>204</v>
      </c>
    </row>
    <row r="46731" spans="13:13" x14ac:dyDescent="0.25">
      <c r="M46731" t="s">
        <v>205</v>
      </c>
    </row>
    <row r="46732" spans="13:13" x14ac:dyDescent="0.25">
      <c r="M46732" t="s">
        <v>206</v>
      </c>
    </row>
    <row r="46733" spans="13:13" x14ac:dyDescent="0.25">
      <c r="M46733" t="s">
        <v>207</v>
      </c>
    </row>
    <row r="46734" spans="13:13" x14ac:dyDescent="0.25">
      <c r="M46734" t="s">
        <v>208</v>
      </c>
    </row>
    <row r="46735" spans="13:13" x14ac:dyDescent="0.25">
      <c r="M46735" t="s">
        <v>209</v>
      </c>
    </row>
    <row r="46736" spans="13:13" x14ac:dyDescent="0.25">
      <c r="M46736" t="s">
        <v>210</v>
      </c>
    </row>
    <row r="46756" spans="13:13" x14ac:dyDescent="0.25">
      <c r="M46756" t="s">
        <v>211</v>
      </c>
    </row>
    <row r="46757" spans="13:13" x14ac:dyDescent="0.25">
      <c r="M46757" t="s">
        <v>212</v>
      </c>
    </row>
    <row r="46758" spans="13:13" x14ac:dyDescent="0.25">
      <c r="M46758" t="s">
        <v>213</v>
      </c>
    </row>
    <row r="46759" spans="13:13" x14ac:dyDescent="0.25">
      <c r="M46759" t="s">
        <v>214</v>
      </c>
    </row>
    <row r="46760" spans="13:13" x14ac:dyDescent="0.25">
      <c r="M46760" t="s">
        <v>215</v>
      </c>
    </row>
    <row r="46761" spans="13:13" x14ac:dyDescent="0.25">
      <c r="M46761" t="s">
        <v>216</v>
      </c>
    </row>
    <row r="46762" spans="13:13" x14ac:dyDescent="0.25">
      <c r="M46762" t="s">
        <v>217</v>
      </c>
    </row>
    <row r="46763" spans="13:13" x14ac:dyDescent="0.25">
      <c r="M46763" t="s">
        <v>218</v>
      </c>
    </row>
    <row r="46764" spans="13:13" x14ac:dyDescent="0.25">
      <c r="M46764" t="s">
        <v>219</v>
      </c>
    </row>
    <row r="46765" spans="13:13" x14ac:dyDescent="0.25">
      <c r="M46765" t="s">
        <v>220</v>
      </c>
    </row>
    <row r="46769" spans="13:13" x14ac:dyDescent="0.25">
      <c r="M46769" t="s">
        <v>221</v>
      </c>
    </row>
    <row r="46770" spans="13:13" x14ac:dyDescent="0.25">
      <c r="M46770" t="s">
        <v>222</v>
      </c>
    </row>
    <row r="46771" spans="13:13" x14ac:dyDescent="0.25">
      <c r="M46771" t="s">
        <v>223</v>
      </c>
    </row>
    <row r="46772" spans="13:13" x14ac:dyDescent="0.25">
      <c r="M46772" t="s">
        <v>224</v>
      </c>
    </row>
    <row r="46773" spans="13:13" x14ac:dyDescent="0.25">
      <c r="M46773" t="s">
        <v>225</v>
      </c>
    </row>
    <row r="46774" spans="13:13" x14ac:dyDescent="0.25">
      <c r="M46774" t="s">
        <v>226</v>
      </c>
    </row>
    <row r="46775" spans="13:13" x14ac:dyDescent="0.25">
      <c r="M46775" t="s">
        <v>227</v>
      </c>
    </row>
    <row r="46776" spans="13:13" x14ac:dyDescent="0.25">
      <c r="M46776" t="s">
        <v>228</v>
      </c>
    </row>
    <row r="46777" spans="13:13" x14ac:dyDescent="0.25">
      <c r="M46777" t="s">
        <v>229</v>
      </c>
    </row>
    <row r="46778" spans="13:13" x14ac:dyDescent="0.25">
      <c r="M46778" t="s">
        <v>230</v>
      </c>
    </row>
    <row r="46779" spans="13:13" x14ac:dyDescent="0.25">
      <c r="M46779" t="s">
        <v>231</v>
      </c>
    </row>
    <row r="46780" spans="13:13" x14ac:dyDescent="0.25">
      <c r="M46780" t="s">
        <v>232</v>
      </c>
    </row>
    <row r="46781" spans="13:13" x14ac:dyDescent="0.25">
      <c r="M46781" t="s">
        <v>233</v>
      </c>
    </row>
    <row r="46782" spans="13:13" x14ac:dyDescent="0.25">
      <c r="M46782" t="s">
        <v>234</v>
      </c>
    </row>
    <row r="46783" spans="13:13" x14ac:dyDescent="0.25">
      <c r="M46783" t="s">
        <v>235</v>
      </c>
    </row>
    <row r="46784" spans="13:13" x14ac:dyDescent="0.25">
      <c r="M46784" t="s">
        <v>236</v>
      </c>
    </row>
    <row r="46785" spans="13:13" x14ac:dyDescent="0.25">
      <c r="M46785" t="s">
        <v>237</v>
      </c>
    </row>
    <row r="46786" spans="13:13" x14ac:dyDescent="0.25">
      <c r="M46786" t="s">
        <v>238</v>
      </c>
    </row>
    <row r="46787" spans="13:13" x14ac:dyDescent="0.25">
      <c r="M46787" t="s">
        <v>239</v>
      </c>
    </row>
    <row r="46788" spans="13:13" x14ac:dyDescent="0.25">
      <c r="M46788" t="s">
        <v>240</v>
      </c>
    </row>
    <row r="46789" spans="13:13" x14ac:dyDescent="0.25">
      <c r="M46789" t="s">
        <v>241</v>
      </c>
    </row>
    <row r="46790" spans="13:13" x14ac:dyDescent="0.25">
      <c r="M46790" t="s">
        <v>242</v>
      </c>
    </row>
    <row r="46791" spans="13:13" x14ac:dyDescent="0.25">
      <c r="M46791" t="s">
        <v>243</v>
      </c>
    </row>
    <row r="46792" spans="13:13" x14ac:dyDescent="0.25">
      <c r="M46792" t="s">
        <v>244</v>
      </c>
    </row>
    <row r="46793" spans="13:13" x14ac:dyDescent="0.25">
      <c r="M46793" t="s">
        <v>245</v>
      </c>
    </row>
    <row r="46794" spans="13:13" x14ac:dyDescent="0.25">
      <c r="M46794" t="s">
        <v>246</v>
      </c>
    </row>
    <row r="46795" spans="13:13" x14ac:dyDescent="0.25">
      <c r="M46795" t="s">
        <v>247</v>
      </c>
    </row>
    <row r="46796" spans="13:13" x14ac:dyDescent="0.25">
      <c r="M46796" t="s">
        <v>248</v>
      </c>
    </row>
    <row r="46797" spans="13:13" x14ac:dyDescent="0.25">
      <c r="M46797" t="s">
        <v>249</v>
      </c>
    </row>
    <row r="46798" spans="13:13" x14ac:dyDescent="0.25">
      <c r="M46798" t="s">
        <v>250</v>
      </c>
    </row>
    <row r="46799" spans="13:13" x14ac:dyDescent="0.25">
      <c r="M46799" t="s">
        <v>251</v>
      </c>
    </row>
    <row r="46800" spans="13:13" x14ac:dyDescent="0.25">
      <c r="M46800" t="s">
        <v>252</v>
      </c>
    </row>
    <row r="46801" spans="13:13" x14ac:dyDescent="0.25">
      <c r="M46801" t="s">
        <v>253</v>
      </c>
    </row>
    <row r="46811" spans="13:13" x14ac:dyDescent="0.25">
      <c r="M46811" t="s">
        <v>254</v>
      </c>
    </row>
    <row r="46812" spans="13:13" x14ac:dyDescent="0.25">
      <c r="M46812" t="s">
        <v>83</v>
      </c>
    </row>
    <row r="46826" spans="13:13" x14ac:dyDescent="0.25">
      <c r="M46826" t="s">
        <v>255</v>
      </c>
    </row>
    <row r="46827" spans="13:13" x14ac:dyDescent="0.25">
      <c r="M46827" t="s">
        <v>256</v>
      </c>
    </row>
    <row r="46828" spans="13:13" x14ac:dyDescent="0.25">
      <c r="M46828" t="s">
        <v>257</v>
      </c>
    </row>
    <row r="46829" spans="13:13" x14ac:dyDescent="0.25">
      <c r="M46829" t="s">
        <v>258</v>
      </c>
    </row>
    <row r="46830" spans="13:13" x14ac:dyDescent="0.25">
      <c r="M46830" t="s">
        <v>259</v>
      </c>
    </row>
    <row r="46831" spans="13:13" x14ac:dyDescent="0.25">
      <c r="M46831" t="s">
        <v>260</v>
      </c>
    </row>
    <row r="46832" spans="13:13" x14ac:dyDescent="0.25">
      <c r="M46832" t="s">
        <v>261</v>
      </c>
    </row>
    <row r="46833" spans="13:13" x14ac:dyDescent="0.25">
      <c r="M46833" t="s">
        <v>262</v>
      </c>
    </row>
    <row r="46834" spans="13:13" x14ac:dyDescent="0.25">
      <c r="M46834" t="s">
        <v>263</v>
      </c>
    </row>
    <row r="46885" spans="13:13" x14ac:dyDescent="0.25">
      <c r="M46885" t="s">
        <v>264</v>
      </c>
    </row>
    <row r="46886" spans="13:13" x14ac:dyDescent="0.25">
      <c r="M46886" t="s">
        <v>265</v>
      </c>
    </row>
    <row r="46887" spans="13:13" x14ac:dyDescent="0.25">
      <c r="M46887" t="s">
        <v>266</v>
      </c>
    </row>
    <row r="46936" spans="13:13" x14ac:dyDescent="0.25">
      <c r="M46936" t="s">
        <v>267</v>
      </c>
    </row>
    <row r="46937" spans="13:13" x14ac:dyDescent="0.25">
      <c r="M46937" t="s">
        <v>268</v>
      </c>
    </row>
    <row r="46938" spans="13:13" x14ac:dyDescent="0.25">
      <c r="M46938" t="s">
        <v>269</v>
      </c>
    </row>
    <row r="46939" spans="13:13" x14ac:dyDescent="0.25">
      <c r="M46939" t="s">
        <v>270</v>
      </c>
    </row>
    <row r="46940" spans="13:13" x14ac:dyDescent="0.25">
      <c r="M46940" t="s">
        <v>271</v>
      </c>
    </row>
    <row r="46941" spans="13:13" x14ac:dyDescent="0.25">
      <c r="M46941" t="s">
        <v>272</v>
      </c>
    </row>
    <row r="46962" spans="13:13" x14ac:dyDescent="0.25">
      <c r="M46962" t="s">
        <v>273</v>
      </c>
    </row>
    <row r="46963" spans="13:13" x14ac:dyDescent="0.25">
      <c r="M46963" t="s">
        <v>274</v>
      </c>
    </row>
    <row r="46966" spans="13:13" x14ac:dyDescent="0.25">
      <c r="M46966" t="s">
        <v>275</v>
      </c>
    </row>
    <row r="46967" spans="13:13" x14ac:dyDescent="0.25">
      <c r="M46967" t="s">
        <v>276</v>
      </c>
    </row>
    <row r="46968" spans="13:13" x14ac:dyDescent="0.25">
      <c r="M46968" t="s">
        <v>277</v>
      </c>
    </row>
    <row r="46973" spans="13:13" x14ac:dyDescent="0.25">
      <c r="M46973" t="s">
        <v>278</v>
      </c>
    </row>
    <row r="46974" spans="13:13" x14ac:dyDescent="0.25">
      <c r="M46974" t="s">
        <v>279</v>
      </c>
    </row>
    <row r="46990" spans="13:13" x14ac:dyDescent="0.25">
      <c r="M46990" t="s">
        <v>203</v>
      </c>
    </row>
    <row r="46991" spans="13:13" x14ac:dyDescent="0.25">
      <c r="M46991" t="s">
        <v>204</v>
      </c>
    </row>
    <row r="46992" spans="13:13" x14ac:dyDescent="0.25">
      <c r="M46992" t="s">
        <v>205</v>
      </c>
    </row>
    <row r="46993" spans="13:13" x14ac:dyDescent="0.25">
      <c r="M46993" t="s">
        <v>206</v>
      </c>
    </row>
    <row r="46994" spans="13:13" x14ac:dyDescent="0.25">
      <c r="M46994" t="s">
        <v>207</v>
      </c>
    </row>
    <row r="46995" spans="13:13" x14ac:dyDescent="0.25">
      <c r="M46995" t="s">
        <v>208</v>
      </c>
    </row>
    <row r="46996" spans="13:13" x14ac:dyDescent="0.25">
      <c r="M46996" t="s">
        <v>209</v>
      </c>
    </row>
    <row r="46997" spans="13:13" x14ac:dyDescent="0.25">
      <c r="M46997" t="s">
        <v>210</v>
      </c>
    </row>
    <row r="47017" spans="13:13" x14ac:dyDescent="0.25">
      <c r="M47017" t="s">
        <v>211</v>
      </c>
    </row>
    <row r="47018" spans="13:13" x14ac:dyDescent="0.25">
      <c r="M47018" t="s">
        <v>212</v>
      </c>
    </row>
    <row r="47019" spans="13:13" x14ac:dyDescent="0.25">
      <c r="M47019" t="s">
        <v>213</v>
      </c>
    </row>
    <row r="47020" spans="13:13" x14ac:dyDescent="0.25">
      <c r="M47020" t="s">
        <v>214</v>
      </c>
    </row>
    <row r="47021" spans="13:13" x14ac:dyDescent="0.25">
      <c r="M47021" t="s">
        <v>215</v>
      </c>
    </row>
    <row r="47022" spans="13:13" x14ac:dyDescent="0.25">
      <c r="M47022" t="s">
        <v>216</v>
      </c>
    </row>
    <row r="47023" spans="13:13" x14ac:dyDescent="0.25">
      <c r="M47023" t="s">
        <v>217</v>
      </c>
    </row>
    <row r="47024" spans="13:13" x14ac:dyDescent="0.25">
      <c r="M47024" t="s">
        <v>218</v>
      </c>
    </row>
    <row r="47025" spans="13:13" x14ac:dyDescent="0.25">
      <c r="M47025" t="s">
        <v>219</v>
      </c>
    </row>
    <row r="47026" spans="13:13" x14ac:dyDescent="0.25">
      <c r="M47026" t="s">
        <v>220</v>
      </c>
    </row>
    <row r="47030" spans="13:13" x14ac:dyDescent="0.25">
      <c r="M47030" t="s">
        <v>221</v>
      </c>
    </row>
    <row r="47031" spans="13:13" x14ac:dyDescent="0.25">
      <c r="M47031" t="s">
        <v>222</v>
      </c>
    </row>
    <row r="47032" spans="13:13" x14ac:dyDescent="0.25">
      <c r="M47032" t="s">
        <v>223</v>
      </c>
    </row>
    <row r="47033" spans="13:13" x14ac:dyDescent="0.25">
      <c r="M47033" t="s">
        <v>224</v>
      </c>
    </row>
    <row r="47034" spans="13:13" x14ac:dyDescent="0.25">
      <c r="M47034" t="s">
        <v>225</v>
      </c>
    </row>
    <row r="47035" spans="13:13" x14ac:dyDescent="0.25">
      <c r="M47035" t="s">
        <v>226</v>
      </c>
    </row>
    <row r="47036" spans="13:13" x14ac:dyDescent="0.25">
      <c r="M47036" t="s">
        <v>227</v>
      </c>
    </row>
    <row r="47037" spans="13:13" x14ac:dyDescent="0.25">
      <c r="M47037" t="s">
        <v>228</v>
      </c>
    </row>
    <row r="47038" spans="13:13" x14ac:dyDescent="0.25">
      <c r="M47038" t="s">
        <v>229</v>
      </c>
    </row>
    <row r="47039" spans="13:13" x14ac:dyDescent="0.25">
      <c r="M47039" t="s">
        <v>230</v>
      </c>
    </row>
    <row r="47040" spans="13:13" x14ac:dyDescent="0.25">
      <c r="M47040" t="s">
        <v>231</v>
      </c>
    </row>
    <row r="47041" spans="13:13" x14ac:dyDescent="0.25">
      <c r="M47041" t="s">
        <v>232</v>
      </c>
    </row>
    <row r="47042" spans="13:13" x14ac:dyDescent="0.25">
      <c r="M47042" t="s">
        <v>233</v>
      </c>
    </row>
    <row r="47043" spans="13:13" x14ac:dyDescent="0.25">
      <c r="M47043" t="s">
        <v>234</v>
      </c>
    </row>
    <row r="47044" spans="13:13" x14ac:dyDescent="0.25">
      <c r="M47044" t="s">
        <v>235</v>
      </c>
    </row>
    <row r="47045" spans="13:13" x14ac:dyDescent="0.25">
      <c r="M47045" t="s">
        <v>236</v>
      </c>
    </row>
    <row r="47046" spans="13:13" x14ac:dyDescent="0.25">
      <c r="M47046" t="s">
        <v>237</v>
      </c>
    </row>
    <row r="47047" spans="13:13" x14ac:dyDescent="0.25">
      <c r="M47047" t="s">
        <v>238</v>
      </c>
    </row>
    <row r="47048" spans="13:13" x14ac:dyDescent="0.25">
      <c r="M47048" t="s">
        <v>239</v>
      </c>
    </row>
    <row r="47049" spans="13:13" x14ac:dyDescent="0.25">
      <c r="M47049" t="s">
        <v>240</v>
      </c>
    </row>
    <row r="47050" spans="13:13" x14ac:dyDescent="0.25">
      <c r="M47050" t="s">
        <v>241</v>
      </c>
    </row>
    <row r="47051" spans="13:13" x14ac:dyDescent="0.25">
      <c r="M47051" t="s">
        <v>242</v>
      </c>
    </row>
    <row r="47052" spans="13:13" x14ac:dyDescent="0.25">
      <c r="M47052" t="s">
        <v>243</v>
      </c>
    </row>
    <row r="47053" spans="13:13" x14ac:dyDescent="0.25">
      <c r="M47053" t="s">
        <v>244</v>
      </c>
    </row>
    <row r="47054" spans="13:13" x14ac:dyDescent="0.25">
      <c r="M47054" t="s">
        <v>245</v>
      </c>
    </row>
    <row r="47055" spans="13:13" x14ac:dyDescent="0.25">
      <c r="M47055" t="s">
        <v>246</v>
      </c>
    </row>
    <row r="47056" spans="13:13" x14ac:dyDescent="0.25">
      <c r="M47056" t="s">
        <v>247</v>
      </c>
    </row>
    <row r="47057" spans="13:13" x14ac:dyDescent="0.25">
      <c r="M47057" t="s">
        <v>248</v>
      </c>
    </row>
    <row r="47058" spans="13:13" x14ac:dyDescent="0.25">
      <c r="M47058" t="s">
        <v>249</v>
      </c>
    </row>
    <row r="47059" spans="13:13" x14ac:dyDescent="0.25">
      <c r="M47059" t="s">
        <v>250</v>
      </c>
    </row>
    <row r="47060" spans="13:13" x14ac:dyDescent="0.25">
      <c r="M47060" t="s">
        <v>251</v>
      </c>
    </row>
    <row r="47061" spans="13:13" x14ac:dyDescent="0.25">
      <c r="M47061" t="s">
        <v>252</v>
      </c>
    </row>
    <row r="47062" spans="13:13" x14ac:dyDescent="0.25">
      <c r="M47062" t="s">
        <v>253</v>
      </c>
    </row>
    <row r="47072" spans="13:13" x14ac:dyDescent="0.25">
      <c r="M47072" t="s">
        <v>254</v>
      </c>
    </row>
    <row r="47073" spans="13:13" x14ac:dyDescent="0.25">
      <c r="M47073" t="s">
        <v>83</v>
      </c>
    </row>
    <row r="47087" spans="13:13" x14ac:dyDescent="0.25">
      <c r="M47087" t="s">
        <v>255</v>
      </c>
    </row>
    <row r="47088" spans="13:13" x14ac:dyDescent="0.25">
      <c r="M47088" t="s">
        <v>256</v>
      </c>
    </row>
    <row r="47089" spans="13:13" x14ac:dyDescent="0.25">
      <c r="M47089" t="s">
        <v>257</v>
      </c>
    </row>
    <row r="47090" spans="13:13" x14ac:dyDescent="0.25">
      <c r="M47090" t="s">
        <v>258</v>
      </c>
    </row>
    <row r="47091" spans="13:13" x14ac:dyDescent="0.25">
      <c r="M47091" t="s">
        <v>259</v>
      </c>
    </row>
    <row r="47092" spans="13:13" x14ac:dyDescent="0.25">
      <c r="M47092" t="s">
        <v>260</v>
      </c>
    </row>
    <row r="47093" spans="13:13" x14ac:dyDescent="0.25">
      <c r="M47093" t="s">
        <v>261</v>
      </c>
    </row>
    <row r="47094" spans="13:13" x14ac:dyDescent="0.25">
      <c r="M47094" t="s">
        <v>262</v>
      </c>
    </row>
    <row r="47095" spans="13:13" x14ac:dyDescent="0.25">
      <c r="M47095" t="s">
        <v>263</v>
      </c>
    </row>
    <row r="47146" spans="13:13" x14ac:dyDescent="0.25">
      <c r="M47146" t="s">
        <v>264</v>
      </c>
    </row>
    <row r="47147" spans="13:13" x14ac:dyDescent="0.25">
      <c r="M47147" t="s">
        <v>265</v>
      </c>
    </row>
    <row r="47148" spans="13:13" x14ac:dyDescent="0.25">
      <c r="M47148" t="s">
        <v>266</v>
      </c>
    </row>
    <row r="47197" spans="13:13" x14ac:dyDescent="0.25">
      <c r="M47197" t="s">
        <v>267</v>
      </c>
    </row>
    <row r="47198" spans="13:13" x14ac:dyDescent="0.25">
      <c r="M47198" t="s">
        <v>268</v>
      </c>
    </row>
    <row r="47199" spans="13:13" x14ac:dyDescent="0.25">
      <c r="M47199" t="s">
        <v>269</v>
      </c>
    </row>
    <row r="47200" spans="13:13" x14ac:dyDescent="0.25">
      <c r="M47200" t="s">
        <v>270</v>
      </c>
    </row>
    <row r="47201" spans="13:13" x14ac:dyDescent="0.25">
      <c r="M47201" t="s">
        <v>271</v>
      </c>
    </row>
    <row r="47202" spans="13:13" x14ac:dyDescent="0.25">
      <c r="M47202" t="s">
        <v>272</v>
      </c>
    </row>
    <row r="47223" spans="13:13" x14ac:dyDescent="0.25">
      <c r="M47223" t="s">
        <v>273</v>
      </c>
    </row>
    <row r="47224" spans="13:13" x14ac:dyDescent="0.25">
      <c r="M47224" t="s">
        <v>274</v>
      </c>
    </row>
    <row r="47227" spans="13:13" x14ac:dyDescent="0.25">
      <c r="M47227" t="s">
        <v>275</v>
      </c>
    </row>
    <row r="47228" spans="13:13" x14ac:dyDescent="0.25">
      <c r="M47228" t="s">
        <v>276</v>
      </c>
    </row>
    <row r="47229" spans="13:13" x14ac:dyDescent="0.25">
      <c r="M47229" t="s">
        <v>277</v>
      </c>
    </row>
    <row r="47234" spans="13:13" x14ac:dyDescent="0.25">
      <c r="M47234" t="s">
        <v>278</v>
      </c>
    </row>
    <row r="47235" spans="13:13" x14ac:dyDescent="0.25">
      <c r="M47235" t="s">
        <v>279</v>
      </c>
    </row>
    <row r="47251" spans="13:13" x14ac:dyDescent="0.25">
      <c r="M47251" t="s">
        <v>203</v>
      </c>
    </row>
    <row r="47252" spans="13:13" x14ac:dyDescent="0.25">
      <c r="M47252" t="s">
        <v>204</v>
      </c>
    </row>
    <row r="47253" spans="13:13" x14ac:dyDescent="0.25">
      <c r="M47253" t="s">
        <v>205</v>
      </c>
    </row>
    <row r="47254" spans="13:13" x14ac:dyDescent="0.25">
      <c r="M47254" t="s">
        <v>206</v>
      </c>
    </row>
    <row r="47255" spans="13:13" x14ac:dyDescent="0.25">
      <c r="M47255" t="s">
        <v>207</v>
      </c>
    </row>
    <row r="47256" spans="13:13" x14ac:dyDescent="0.25">
      <c r="M47256" t="s">
        <v>208</v>
      </c>
    </row>
    <row r="47257" spans="13:13" x14ac:dyDescent="0.25">
      <c r="M47257" t="s">
        <v>209</v>
      </c>
    </row>
    <row r="47258" spans="13:13" x14ac:dyDescent="0.25">
      <c r="M47258" t="s">
        <v>210</v>
      </c>
    </row>
    <row r="47278" spans="13:13" x14ac:dyDescent="0.25">
      <c r="M47278" t="s">
        <v>211</v>
      </c>
    </row>
    <row r="47279" spans="13:13" x14ac:dyDescent="0.25">
      <c r="M47279" t="s">
        <v>212</v>
      </c>
    </row>
    <row r="47280" spans="13:13" x14ac:dyDescent="0.25">
      <c r="M47280" t="s">
        <v>213</v>
      </c>
    </row>
    <row r="47281" spans="13:13" x14ac:dyDescent="0.25">
      <c r="M47281" t="s">
        <v>214</v>
      </c>
    </row>
    <row r="47282" spans="13:13" x14ac:dyDescent="0.25">
      <c r="M47282" t="s">
        <v>215</v>
      </c>
    </row>
    <row r="47283" spans="13:13" x14ac:dyDescent="0.25">
      <c r="M47283" t="s">
        <v>216</v>
      </c>
    </row>
    <row r="47284" spans="13:13" x14ac:dyDescent="0.25">
      <c r="M47284" t="s">
        <v>217</v>
      </c>
    </row>
    <row r="47285" spans="13:13" x14ac:dyDescent="0.25">
      <c r="M47285" t="s">
        <v>218</v>
      </c>
    </row>
    <row r="47286" spans="13:13" x14ac:dyDescent="0.25">
      <c r="M47286" t="s">
        <v>219</v>
      </c>
    </row>
    <row r="47287" spans="13:13" x14ac:dyDescent="0.25">
      <c r="M47287" t="s">
        <v>220</v>
      </c>
    </row>
    <row r="47291" spans="13:13" x14ac:dyDescent="0.25">
      <c r="M47291" t="s">
        <v>221</v>
      </c>
    </row>
    <row r="47292" spans="13:13" x14ac:dyDescent="0.25">
      <c r="M47292" t="s">
        <v>222</v>
      </c>
    </row>
    <row r="47293" spans="13:13" x14ac:dyDescent="0.25">
      <c r="M47293" t="s">
        <v>223</v>
      </c>
    </row>
    <row r="47294" spans="13:13" x14ac:dyDescent="0.25">
      <c r="M47294" t="s">
        <v>224</v>
      </c>
    </row>
    <row r="47295" spans="13:13" x14ac:dyDescent="0.25">
      <c r="M47295" t="s">
        <v>225</v>
      </c>
    </row>
    <row r="47296" spans="13:13" x14ac:dyDescent="0.25">
      <c r="M47296" t="s">
        <v>226</v>
      </c>
    </row>
    <row r="47297" spans="13:13" x14ac:dyDescent="0.25">
      <c r="M47297" t="s">
        <v>227</v>
      </c>
    </row>
    <row r="47298" spans="13:13" x14ac:dyDescent="0.25">
      <c r="M47298" t="s">
        <v>228</v>
      </c>
    </row>
    <row r="47299" spans="13:13" x14ac:dyDescent="0.25">
      <c r="M47299" t="s">
        <v>229</v>
      </c>
    </row>
    <row r="47300" spans="13:13" x14ac:dyDescent="0.25">
      <c r="M47300" t="s">
        <v>230</v>
      </c>
    </row>
    <row r="47301" spans="13:13" x14ac:dyDescent="0.25">
      <c r="M47301" t="s">
        <v>231</v>
      </c>
    </row>
    <row r="47302" spans="13:13" x14ac:dyDescent="0.25">
      <c r="M47302" t="s">
        <v>232</v>
      </c>
    </row>
    <row r="47303" spans="13:13" x14ac:dyDescent="0.25">
      <c r="M47303" t="s">
        <v>233</v>
      </c>
    </row>
    <row r="47304" spans="13:13" x14ac:dyDescent="0.25">
      <c r="M47304" t="s">
        <v>234</v>
      </c>
    </row>
    <row r="47305" spans="13:13" x14ac:dyDescent="0.25">
      <c r="M47305" t="s">
        <v>235</v>
      </c>
    </row>
    <row r="47306" spans="13:13" x14ac:dyDescent="0.25">
      <c r="M47306" t="s">
        <v>236</v>
      </c>
    </row>
    <row r="47307" spans="13:13" x14ac:dyDescent="0.25">
      <c r="M47307" t="s">
        <v>237</v>
      </c>
    </row>
    <row r="47308" spans="13:13" x14ac:dyDescent="0.25">
      <c r="M47308" t="s">
        <v>238</v>
      </c>
    </row>
    <row r="47309" spans="13:13" x14ac:dyDescent="0.25">
      <c r="M47309" t="s">
        <v>239</v>
      </c>
    </row>
    <row r="47310" spans="13:13" x14ac:dyDescent="0.25">
      <c r="M47310" t="s">
        <v>240</v>
      </c>
    </row>
    <row r="47311" spans="13:13" x14ac:dyDescent="0.25">
      <c r="M47311" t="s">
        <v>241</v>
      </c>
    </row>
    <row r="47312" spans="13:13" x14ac:dyDescent="0.25">
      <c r="M47312" t="s">
        <v>242</v>
      </c>
    </row>
    <row r="47313" spans="13:13" x14ac:dyDescent="0.25">
      <c r="M47313" t="s">
        <v>243</v>
      </c>
    </row>
    <row r="47314" spans="13:13" x14ac:dyDescent="0.25">
      <c r="M47314" t="s">
        <v>244</v>
      </c>
    </row>
    <row r="47315" spans="13:13" x14ac:dyDescent="0.25">
      <c r="M47315" t="s">
        <v>245</v>
      </c>
    </row>
    <row r="47316" spans="13:13" x14ac:dyDescent="0.25">
      <c r="M47316" t="s">
        <v>246</v>
      </c>
    </row>
    <row r="47317" spans="13:13" x14ac:dyDescent="0.25">
      <c r="M47317" t="s">
        <v>247</v>
      </c>
    </row>
    <row r="47318" spans="13:13" x14ac:dyDescent="0.25">
      <c r="M47318" t="s">
        <v>248</v>
      </c>
    </row>
    <row r="47319" spans="13:13" x14ac:dyDescent="0.25">
      <c r="M47319" t="s">
        <v>249</v>
      </c>
    </row>
    <row r="47320" spans="13:13" x14ac:dyDescent="0.25">
      <c r="M47320" t="s">
        <v>250</v>
      </c>
    </row>
    <row r="47321" spans="13:13" x14ac:dyDescent="0.25">
      <c r="M47321" t="s">
        <v>251</v>
      </c>
    </row>
    <row r="47322" spans="13:13" x14ac:dyDescent="0.25">
      <c r="M47322" t="s">
        <v>252</v>
      </c>
    </row>
    <row r="47323" spans="13:13" x14ac:dyDescent="0.25">
      <c r="M47323" t="s">
        <v>253</v>
      </c>
    </row>
    <row r="47333" spans="13:13" x14ac:dyDescent="0.25">
      <c r="M47333" t="s">
        <v>254</v>
      </c>
    </row>
    <row r="47334" spans="13:13" x14ac:dyDescent="0.25">
      <c r="M47334" t="s">
        <v>83</v>
      </c>
    </row>
    <row r="47348" spans="13:13" x14ac:dyDescent="0.25">
      <c r="M47348" t="s">
        <v>255</v>
      </c>
    </row>
    <row r="47349" spans="13:13" x14ac:dyDescent="0.25">
      <c r="M47349" t="s">
        <v>256</v>
      </c>
    </row>
    <row r="47350" spans="13:13" x14ac:dyDescent="0.25">
      <c r="M47350" t="s">
        <v>257</v>
      </c>
    </row>
    <row r="47351" spans="13:13" x14ac:dyDescent="0.25">
      <c r="M47351" t="s">
        <v>258</v>
      </c>
    </row>
    <row r="47352" spans="13:13" x14ac:dyDescent="0.25">
      <c r="M47352" t="s">
        <v>259</v>
      </c>
    </row>
    <row r="47353" spans="13:13" x14ac:dyDescent="0.25">
      <c r="M47353" t="s">
        <v>260</v>
      </c>
    </row>
    <row r="47354" spans="13:13" x14ac:dyDescent="0.25">
      <c r="M47354" t="s">
        <v>261</v>
      </c>
    </row>
    <row r="47355" spans="13:13" x14ac:dyDescent="0.25">
      <c r="M47355" t="s">
        <v>262</v>
      </c>
    </row>
    <row r="47356" spans="13:13" x14ac:dyDescent="0.25">
      <c r="M47356" t="s">
        <v>263</v>
      </c>
    </row>
    <row r="47407" spans="13:13" x14ac:dyDescent="0.25">
      <c r="M47407" t="s">
        <v>264</v>
      </c>
    </row>
    <row r="47408" spans="13:13" x14ac:dyDescent="0.25">
      <c r="M47408" t="s">
        <v>265</v>
      </c>
    </row>
    <row r="47409" spans="13:13" x14ac:dyDescent="0.25">
      <c r="M47409" t="s">
        <v>266</v>
      </c>
    </row>
    <row r="47458" spans="13:13" x14ac:dyDescent="0.25">
      <c r="M47458" t="s">
        <v>267</v>
      </c>
    </row>
    <row r="47459" spans="13:13" x14ac:dyDescent="0.25">
      <c r="M47459" t="s">
        <v>268</v>
      </c>
    </row>
    <row r="47460" spans="13:13" x14ac:dyDescent="0.25">
      <c r="M47460" t="s">
        <v>269</v>
      </c>
    </row>
    <row r="47461" spans="13:13" x14ac:dyDescent="0.25">
      <c r="M47461" t="s">
        <v>270</v>
      </c>
    </row>
    <row r="47462" spans="13:13" x14ac:dyDescent="0.25">
      <c r="M47462" t="s">
        <v>271</v>
      </c>
    </row>
    <row r="47463" spans="13:13" x14ac:dyDescent="0.25">
      <c r="M47463" t="s">
        <v>272</v>
      </c>
    </row>
    <row r="47484" spans="13:13" x14ac:dyDescent="0.25">
      <c r="M47484" t="s">
        <v>273</v>
      </c>
    </row>
    <row r="47485" spans="13:13" x14ac:dyDescent="0.25">
      <c r="M47485" t="s">
        <v>274</v>
      </c>
    </row>
    <row r="47488" spans="13:13" x14ac:dyDescent="0.25">
      <c r="M47488" t="s">
        <v>275</v>
      </c>
    </row>
    <row r="47489" spans="13:13" x14ac:dyDescent="0.25">
      <c r="M47489" t="s">
        <v>276</v>
      </c>
    </row>
    <row r="47490" spans="13:13" x14ac:dyDescent="0.25">
      <c r="M47490" t="s">
        <v>277</v>
      </c>
    </row>
    <row r="47495" spans="13:13" x14ac:dyDescent="0.25">
      <c r="M47495" t="s">
        <v>278</v>
      </c>
    </row>
    <row r="47496" spans="13:13" x14ac:dyDescent="0.25">
      <c r="M47496" t="s">
        <v>279</v>
      </c>
    </row>
    <row r="47512" spans="13:13" x14ac:dyDescent="0.25">
      <c r="M47512" t="s">
        <v>203</v>
      </c>
    </row>
    <row r="47513" spans="13:13" x14ac:dyDescent="0.25">
      <c r="M47513" t="s">
        <v>204</v>
      </c>
    </row>
    <row r="47514" spans="13:13" x14ac:dyDescent="0.25">
      <c r="M47514" t="s">
        <v>205</v>
      </c>
    </row>
    <row r="47515" spans="13:13" x14ac:dyDescent="0.25">
      <c r="M47515" t="s">
        <v>206</v>
      </c>
    </row>
    <row r="47516" spans="13:13" x14ac:dyDescent="0.25">
      <c r="M47516" t="s">
        <v>207</v>
      </c>
    </row>
    <row r="47517" spans="13:13" x14ac:dyDescent="0.25">
      <c r="M47517" t="s">
        <v>208</v>
      </c>
    </row>
    <row r="47518" spans="13:13" x14ac:dyDescent="0.25">
      <c r="M47518" t="s">
        <v>209</v>
      </c>
    </row>
    <row r="47519" spans="13:13" x14ac:dyDescent="0.25">
      <c r="M47519" t="s">
        <v>210</v>
      </c>
    </row>
    <row r="47539" spans="13:13" x14ac:dyDescent="0.25">
      <c r="M47539" t="s">
        <v>211</v>
      </c>
    </row>
    <row r="47540" spans="13:13" x14ac:dyDescent="0.25">
      <c r="M47540" t="s">
        <v>212</v>
      </c>
    </row>
    <row r="47541" spans="13:13" x14ac:dyDescent="0.25">
      <c r="M47541" t="s">
        <v>213</v>
      </c>
    </row>
    <row r="47542" spans="13:13" x14ac:dyDescent="0.25">
      <c r="M47542" t="s">
        <v>214</v>
      </c>
    </row>
    <row r="47543" spans="13:13" x14ac:dyDescent="0.25">
      <c r="M47543" t="s">
        <v>215</v>
      </c>
    </row>
    <row r="47544" spans="13:13" x14ac:dyDescent="0.25">
      <c r="M47544" t="s">
        <v>216</v>
      </c>
    </row>
    <row r="47545" spans="13:13" x14ac:dyDescent="0.25">
      <c r="M47545" t="s">
        <v>217</v>
      </c>
    </row>
    <row r="47546" spans="13:13" x14ac:dyDescent="0.25">
      <c r="M47546" t="s">
        <v>218</v>
      </c>
    </row>
    <row r="47547" spans="13:13" x14ac:dyDescent="0.25">
      <c r="M47547" t="s">
        <v>219</v>
      </c>
    </row>
    <row r="47548" spans="13:13" x14ac:dyDescent="0.25">
      <c r="M47548" t="s">
        <v>220</v>
      </c>
    </row>
    <row r="47552" spans="13:13" x14ac:dyDescent="0.25">
      <c r="M47552" t="s">
        <v>221</v>
      </c>
    </row>
    <row r="47553" spans="13:13" x14ac:dyDescent="0.25">
      <c r="M47553" t="s">
        <v>222</v>
      </c>
    </row>
    <row r="47554" spans="13:13" x14ac:dyDescent="0.25">
      <c r="M47554" t="s">
        <v>223</v>
      </c>
    </row>
    <row r="47555" spans="13:13" x14ac:dyDescent="0.25">
      <c r="M47555" t="s">
        <v>224</v>
      </c>
    </row>
    <row r="47556" spans="13:13" x14ac:dyDescent="0.25">
      <c r="M47556" t="s">
        <v>225</v>
      </c>
    </row>
    <row r="47557" spans="13:13" x14ac:dyDescent="0.25">
      <c r="M47557" t="s">
        <v>226</v>
      </c>
    </row>
    <row r="47558" spans="13:13" x14ac:dyDescent="0.25">
      <c r="M47558" t="s">
        <v>227</v>
      </c>
    </row>
    <row r="47559" spans="13:13" x14ac:dyDescent="0.25">
      <c r="M47559" t="s">
        <v>228</v>
      </c>
    </row>
    <row r="47560" spans="13:13" x14ac:dyDescent="0.25">
      <c r="M47560" t="s">
        <v>229</v>
      </c>
    </row>
    <row r="47561" spans="13:13" x14ac:dyDescent="0.25">
      <c r="M47561" t="s">
        <v>230</v>
      </c>
    </row>
    <row r="47562" spans="13:13" x14ac:dyDescent="0.25">
      <c r="M47562" t="s">
        <v>231</v>
      </c>
    </row>
    <row r="47563" spans="13:13" x14ac:dyDescent="0.25">
      <c r="M47563" t="s">
        <v>232</v>
      </c>
    </row>
    <row r="47564" spans="13:13" x14ac:dyDescent="0.25">
      <c r="M47564" t="s">
        <v>233</v>
      </c>
    </row>
    <row r="47565" spans="13:13" x14ac:dyDescent="0.25">
      <c r="M47565" t="s">
        <v>234</v>
      </c>
    </row>
    <row r="47566" spans="13:13" x14ac:dyDescent="0.25">
      <c r="M47566" t="s">
        <v>235</v>
      </c>
    </row>
    <row r="47567" spans="13:13" x14ac:dyDescent="0.25">
      <c r="M47567" t="s">
        <v>236</v>
      </c>
    </row>
    <row r="47568" spans="13:13" x14ac:dyDescent="0.25">
      <c r="M47568" t="s">
        <v>237</v>
      </c>
    </row>
    <row r="47569" spans="13:13" x14ac:dyDescent="0.25">
      <c r="M47569" t="s">
        <v>238</v>
      </c>
    </row>
    <row r="47570" spans="13:13" x14ac:dyDescent="0.25">
      <c r="M47570" t="s">
        <v>239</v>
      </c>
    </row>
    <row r="47571" spans="13:13" x14ac:dyDescent="0.25">
      <c r="M47571" t="s">
        <v>240</v>
      </c>
    </row>
    <row r="47572" spans="13:13" x14ac:dyDescent="0.25">
      <c r="M47572" t="s">
        <v>241</v>
      </c>
    </row>
    <row r="47573" spans="13:13" x14ac:dyDescent="0.25">
      <c r="M47573" t="s">
        <v>242</v>
      </c>
    </row>
    <row r="47574" spans="13:13" x14ac:dyDescent="0.25">
      <c r="M47574" t="s">
        <v>243</v>
      </c>
    </row>
    <row r="47575" spans="13:13" x14ac:dyDescent="0.25">
      <c r="M47575" t="s">
        <v>244</v>
      </c>
    </row>
    <row r="47576" spans="13:13" x14ac:dyDescent="0.25">
      <c r="M47576" t="s">
        <v>245</v>
      </c>
    </row>
    <row r="47577" spans="13:13" x14ac:dyDescent="0.25">
      <c r="M47577" t="s">
        <v>246</v>
      </c>
    </row>
    <row r="47578" spans="13:13" x14ac:dyDescent="0.25">
      <c r="M47578" t="s">
        <v>247</v>
      </c>
    </row>
    <row r="47579" spans="13:13" x14ac:dyDescent="0.25">
      <c r="M47579" t="s">
        <v>248</v>
      </c>
    </row>
    <row r="47580" spans="13:13" x14ac:dyDescent="0.25">
      <c r="M47580" t="s">
        <v>249</v>
      </c>
    </row>
    <row r="47581" spans="13:13" x14ac:dyDescent="0.25">
      <c r="M47581" t="s">
        <v>250</v>
      </c>
    </row>
    <row r="47582" spans="13:13" x14ac:dyDescent="0.25">
      <c r="M47582" t="s">
        <v>251</v>
      </c>
    </row>
    <row r="47583" spans="13:13" x14ac:dyDescent="0.25">
      <c r="M47583" t="s">
        <v>252</v>
      </c>
    </row>
    <row r="47584" spans="13:13" x14ac:dyDescent="0.25">
      <c r="M47584" t="s">
        <v>253</v>
      </c>
    </row>
    <row r="47594" spans="13:13" x14ac:dyDescent="0.25">
      <c r="M47594" t="s">
        <v>254</v>
      </c>
    </row>
    <row r="47595" spans="13:13" x14ac:dyDescent="0.25">
      <c r="M47595" t="s">
        <v>83</v>
      </c>
    </row>
    <row r="47609" spans="13:13" x14ac:dyDescent="0.25">
      <c r="M47609" t="s">
        <v>255</v>
      </c>
    </row>
    <row r="47610" spans="13:13" x14ac:dyDescent="0.25">
      <c r="M47610" t="s">
        <v>256</v>
      </c>
    </row>
    <row r="47611" spans="13:13" x14ac:dyDescent="0.25">
      <c r="M47611" t="s">
        <v>257</v>
      </c>
    </row>
    <row r="47612" spans="13:13" x14ac:dyDescent="0.25">
      <c r="M47612" t="s">
        <v>258</v>
      </c>
    </row>
    <row r="47613" spans="13:13" x14ac:dyDescent="0.25">
      <c r="M47613" t="s">
        <v>259</v>
      </c>
    </row>
    <row r="47614" spans="13:13" x14ac:dyDescent="0.25">
      <c r="M47614" t="s">
        <v>260</v>
      </c>
    </row>
    <row r="47615" spans="13:13" x14ac:dyDescent="0.25">
      <c r="M47615" t="s">
        <v>261</v>
      </c>
    </row>
    <row r="47616" spans="13:13" x14ac:dyDescent="0.25">
      <c r="M47616" t="s">
        <v>262</v>
      </c>
    </row>
    <row r="47617" spans="13:13" x14ac:dyDescent="0.25">
      <c r="M47617" t="s">
        <v>263</v>
      </c>
    </row>
    <row r="47668" spans="13:13" x14ac:dyDescent="0.25">
      <c r="M47668" t="s">
        <v>264</v>
      </c>
    </row>
    <row r="47669" spans="13:13" x14ac:dyDescent="0.25">
      <c r="M47669" t="s">
        <v>265</v>
      </c>
    </row>
    <row r="47670" spans="13:13" x14ac:dyDescent="0.25">
      <c r="M47670" t="s">
        <v>266</v>
      </c>
    </row>
    <row r="47719" spans="13:13" x14ac:dyDescent="0.25">
      <c r="M47719" t="s">
        <v>267</v>
      </c>
    </row>
    <row r="47720" spans="13:13" x14ac:dyDescent="0.25">
      <c r="M47720" t="s">
        <v>268</v>
      </c>
    </row>
    <row r="47721" spans="13:13" x14ac:dyDescent="0.25">
      <c r="M47721" t="s">
        <v>269</v>
      </c>
    </row>
    <row r="47722" spans="13:13" x14ac:dyDescent="0.25">
      <c r="M47722" t="s">
        <v>270</v>
      </c>
    </row>
    <row r="47723" spans="13:13" x14ac:dyDescent="0.25">
      <c r="M47723" t="s">
        <v>271</v>
      </c>
    </row>
    <row r="47724" spans="13:13" x14ac:dyDescent="0.25">
      <c r="M47724" t="s">
        <v>272</v>
      </c>
    </row>
    <row r="47745" spans="13:13" x14ac:dyDescent="0.25">
      <c r="M47745" t="s">
        <v>273</v>
      </c>
    </row>
    <row r="47746" spans="13:13" x14ac:dyDescent="0.25">
      <c r="M47746" t="s">
        <v>274</v>
      </c>
    </row>
    <row r="47749" spans="13:13" x14ac:dyDescent="0.25">
      <c r="M47749" t="s">
        <v>275</v>
      </c>
    </row>
    <row r="47750" spans="13:13" x14ac:dyDescent="0.25">
      <c r="M47750" t="s">
        <v>276</v>
      </c>
    </row>
    <row r="47751" spans="13:13" x14ac:dyDescent="0.25">
      <c r="M47751" t="s">
        <v>277</v>
      </c>
    </row>
    <row r="47756" spans="13:13" x14ac:dyDescent="0.25">
      <c r="M47756" t="s">
        <v>278</v>
      </c>
    </row>
    <row r="47757" spans="13:13" x14ac:dyDescent="0.25">
      <c r="M47757" t="s">
        <v>279</v>
      </c>
    </row>
    <row r="47773" spans="13:13" x14ac:dyDescent="0.25">
      <c r="M47773" t="s">
        <v>203</v>
      </c>
    </row>
    <row r="47774" spans="13:13" x14ac:dyDescent="0.25">
      <c r="M47774" t="s">
        <v>204</v>
      </c>
    </row>
    <row r="47775" spans="13:13" x14ac:dyDescent="0.25">
      <c r="M47775" t="s">
        <v>205</v>
      </c>
    </row>
    <row r="47776" spans="13:13" x14ac:dyDescent="0.25">
      <c r="M47776" t="s">
        <v>206</v>
      </c>
    </row>
    <row r="47777" spans="13:13" x14ac:dyDescent="0.25">
      <c r="M47777" t="s">
        <v>207</v>
      </c>
    </row>
    <row r="47778" spans="13:13" x14ac:dyDescent="0.25">
      <c r="M47778" t="s">
        <v>208</v>
      </c>
    </row>
    <row r="47779" spans="13:13" x14ac:dyDescent="0.25">
      <c r="M47779" t="s">
        <v>209</v>
      </c>
    </row>
    <row r="47780" spans="13:13" x14ac:dyDescent="0.25">
      <c r="M47780" t="s">
        <v>210</v>
      </c>
    </row>
    <row r="47800" spans="13:13" x14ac:dyDescent="0.25">
      <c r="M47800" t="s">
        <v>211</v>
      </c>
    </row>
    <row r="47801" spans="13:13" x14ac:dyDescent="0.25">
      <c r="M47801" t="s">
        <v>212</v>
      </c>
    </row>
    <row r="47802" spans="13:13" x14ac:dyDescent="0.25">
      <c r="M47802" t="s">
        <v>213</v>
      </c>
    </row>
    <row r="47803" spans="13:13" x14ac:dyDescent="0.25">
      <c r="M47803" t="s">
        <v>214</v>
      </c>
    </row>
    <row r="47804" spans="13:13" x14ac:dyDescent="0.25">
      <c r="M47804" t="s">
        <v>215</v>
      </c>
    </row>
    <row r="47805" spans="13:13" x14ac:dyDescent="0.25">
      <c r="M47805" t="s">
        <v>216</v>
      </c>
    </row>
    <row r="47806" spans="13:13" x14ac:dyDescent="0.25">
      <c r="M47806" t="s">
        <v>217</v>
      </c>
    </row>
    <row r="47807" spans="13:13" x14ac:dyDescent="0.25">
      <c r="M47807" t="s">
        <v>218</v>
      </c>
    </row>
    <row r="47808" spans="13:13" x14ac:dyDescent="0.25">
      <c r="M47808" t="s">
        <v>219</v>
      </c>
    </row>
    <row r="47809" spans="13:13" x14ac:dyDescent="0.25">
      <c r="M47809" t="s">
        <v>220</v>
      </c>
    </row>
    <row r="47813" spans="13:13" x14ac:dyDescent="0.25">
      <c r="M47813" t="s">
        <v>221</v>
      </c>
    </row>
    <row r="47814" spans="13:13" x14ac:dyDescent="0.25">
      <c r="M47814" t="s">
        <v>222</v>
      </c>
    </row>
    <row r="47815" spans="13:13" x14ac:dyDescent="0.25">
      <c r="M47815" t="s">
        <v>223</v>
      </c>
    </row>
    <row r="47816" spans="13:13" x14ac:dyDescent="0.25">
      <c r="M47816" t="s">
        <v>224</v>
      </c>
    </row>
    <row r="47817" spans="13:13" x14ac:dyDescent="0.25">
      <c r="M47817" t="s">
        <v>225</v>
      </c>
    </row>
    <row r="47818" spans="13:13" x14ac:dyDescent="0.25">
      <c r="M47818" t="s">
        <v>226</v>
      </c>
    </row>
    <row r="47819" spans="13:13" x14ac:dyDescent="0.25">
      <c r="M47819" t="s">
        <v>227</v>
      </c>
    </row>
    <row r="47820" spans="13:13" x14ac:dyDescent="0.25">
      <c r="M47820" t="s">
        <v>228</v>
      </c>
    </row>
    <row r="47821" spans="13:13" x14ac:dyDescent="0.25">
      <c r="M47821" t="s">
        <v>229</v>
      </c>
    </row>
    <row r="47822" spans="13:13" x14ac:dyDescent="0.25">
      <c r="M47822" t="s">
        <v>230</v>
      </c>
    </row>
    <row r="47823" spans="13:13" x14ac:dyDescent="0.25">
      <c r="M47823" t="s">
        <v>231</v>
      </c>
    </row>
    <row r="47824" spans="13:13" x14ac:dyDescent="0.25">
      <c r="M47824" t="s">
        <v>232</v>
      </c>
    </row>
    <row r="47825" spans="13:13" x14ac:dyDescent="0.25">
      <c r="M47825" t="s">
        <v>233</v>
      </c>
    </row>
    <row r="47826" spans="13:13" x14ac:dyDescent="0.25">
      <c r="M47826" t="s">
        <v>234</v>
      </c>
    </row>
    <row r="47827" spans="13:13" x14ac:dyDescent="0.25">
      <c r="M47827" t="s">
        <v>235</v>
      </c>
    </row>
    <row r="47828" spans="13:13" x14ac:dyDescent="0.25">
      <c r="M47828" t="s">
        <v>236</v>
      </c>
    </row>
    <row r="47829" spans="13:13" x14ac:dyDescent="0.25">
      <c r="M47829" t="s">
        <v>237</v>
      </c>
    </row>
    <row r="47830" spans="13:13" x14ac:dyDescent="0.25">
      <c r="M47830" t="s">
        <v>238</v>
      </c>
    </row>
    <row r="47831" spans="13:13" x14ac:dyDescent="0.25">
      <c r="M47831" t="s">
        <v>239</v>
      </c>
    </row>
    <row r="47832" spans="13:13" x14ac:dyDescent="0.25">
      <c r="M47832" t="s">
        <v>240</v>
      </c>
    </row>
    <row r="47833" spans="13:13" x14ac:dyDescent="0.25">
      <c r="M47833" t="s">
        <v>241</v>
      </c>
    </row>
    <row r="47834" spans="13:13" x14ac:dyDescent="0.25">
      <c r="M47834" t="s">
        <v>242</v>
      </c>
    </row>
    <row r="47835" spans="13:13" x14ac:dyDescent="0.25">
      <c r="M47835" t="s">
        <v>243</v>
      </c>
    </row>
    <row r="47836" spans="13:13" x14ac:dyDescent="0.25">
      <c r="M47836" t="s">
        <v>244</v>
      </c>
    </row>
    <row r="47837" spans="13:13" x14ac:dyDescent="0.25">
      <c r="M47837" t="s">
        <v>245</v>
      </c>
    </row>
    <row r="47838" spans="13:13" x14ac:dyDescent="0.25">
      <c r="M47838" t="s">
        <v>246</v>
      </c>
    </row>
    <row r="47839" spans="13:13" x14ac:dyDescent="0.25">
      <c r="M47839" t="s">
        <v>247</v>
      </c>
    </row>
    <row r="47840" spans="13:13" x14ac:dyDescent="0.25">
      <c r="M47840" t="s">
        <v>248</v>
      </c>
    </row>
    <row r="47841" spans="13:13" x14ac:dyDescent="0.25">
      <c r="M47841" t="s">
        <v>249</v>
      </c>
    </row>
    <row r="47842" spans="13:13" x14ac:dyDescent="0.25">
      <c r="M47842" t="s">
        <v>250</v>
      </c>
    </row>
    <row r="47843" spans="13:13" x14ac:dyDescent="0.25">
      <c r="M47843" t="s">
        <v>251</v>
      </c>
    </row>
    <row r="47844" spans="13:13" x14ac:dyDescent="0.25">
      <c r="M47844" t="s">
        <v>252</v>
      </c>
    </row>
    <row r="47845" spans="13:13" x14ac:dyDescent="0.25">
      <c r="M47845" t="s">
        <v>253</v>
      </c>
    </row>
    <row r="47855" spans="13:13" x14ac:dyDescent="0.25">
      <c r="M47855" t="s">
        <v>254</v>
      </c>
    </row>
    <row r="47856" spans="13:13" x14ac:dyDescent="0.25">
      <c r="M47856" t="s">
        <v>83</v>
      </c>
    </row>
    <row r="47870" spans="13:13" x14ac:dyDescent="0.25">
      <c r="M47870" t="s">
        <v>255</v>
      </c>
    </row>
    <row r="47871" spans="13:13" x14ac:dyDescent="0.25">
      <c r="M47871" t="s">
        <v>256</v>
      </c>
    </row>
    <row r="47872" spans="13:13" x14ac:dyDescent="0.25">
      <c r="M47872" t="s">
        <v>257</v>
      </c>
    </row>
    <row r="47873" spans="13:13" x14ac:dyDescent="0.25">
      <c r="M47873" t="s">
        <v>258</v>
      </c>
    </row>
    <row r="47874" spans="13:13" x14ac:dyDescent="0.25">
      <c r="M47874" t="s">
        <v>259</v>
      </c>
    </row>
    <row r="47875" spans="13:13" x14ac:dyDescent="0.25">
      <c r="M47875" t="s">
        <v>260</v>
      </c>
    </row>
    <row r="47876" spans="13:13" x14ac:dyDescent="0.25">
      <c r="M47876" t="s">
        <v>261</v>
      </c>
    </row>
    <row r="47877" spans="13:13" x14ac:dyDescent="0.25">
      <c r="M47877" t="s">
        <v>262</v>
      </c>
    </row>
    <row r="47878" spans="13:13" x14ac:dyDescent="0.25">
      <c r="M47878" t="s">
        <v>263</v>
      </c>
    </row>
    <row r="47929" spans="13:13" x14ac:dyDescent="0.25">
      <c r="M47929" t="s">
        <v>264</v>
      </c>
    </row>
    <row r="47930" spans="13:13" x14ac:dyDescent="0.25">
      <c r="M47930" t="s">
        <v>265</v>
      </c>
    </row>
    <row r="47931" spans="13:13" x14ac:dyDescent="0.25">
      <c r="M47931" t="s">
        <v>266</v>
      </c>
    </row>
    <row r="47980" spans="13:13" x14ac:dyDescent="0.25">
      <c r="M47980" t="s">
        <v>267</v>
      </c>
    </row>
    <row r="47981" spans="13:13" x14ac:dyDescent="0.25">
      <c r="M47981" t="s">
        <v>268</v>
      </c>
    </row>
    <row r="47982" spans="13:13" x14ac:dyDescent="0.25">
      <c r="M47982" t="s">
        <v>269</v>
      </c>
    </row>
    <row r="47983" spans="13:13" x14ac:dyDescent="0.25">
      <c r="M47983" t="s">
        <v>270</v>
      </c>
    </row>
    <row r="47984" spans="13:13" x14ac:dyDescent="0.25">
      <c r="M47984" t="s">
        <v>271</v>
      </c>
    </row>
    <row r="47985" spans="13:13" x14ac:dyDescent="0.25">
      <c r="M47985" t="s">
        <v>272</v>
      </c>
    </row>
    <row r="48006" spans="13:13" x14ac:dyDescent="0.25">
      <c r="M48006" t="s">
        <v>273</v>
      </c>
    </row>
    <row r="48007" spans="13:13" x14ac:dyDescent="0.25">
      <c r="M48007" t="s">
        <v>274</v>
      </c>
    </row>
    <row r="48010" spans="13:13" x14ac:dyDescent="0.25">
      <c r="M48010" t="s">
        <v>275</v>
      </c>
    </row>
    <row r="48011" spans="13:13" x14ac:dyDescent="0.25">
      <c r="M48011" t="s">
        <v>276</v>
      </c>
    </row>
    <row r="48012" spans="13:13" x14ac:dyDescent="0.25">
      <c r="M48012" t="s">
        <v>277</v>
      </c>
    </row>
    <row r="48017" spans="13:13" x14ac:dyDescent="0.25">
      <c r="M48017" t="s">
        <v>278</v>
      </c>
    </row>
    <row r="48018" spans="13:13" x14ac:dyDescent="0.25">
      <c r="M48018" t="s">
        <v>279</v>
      </c>
    </row>
    <row r="48034" spans="13:13" x14ac:dyDescent="0.25">
      <c r="M48034" t="s">
        <v>203</v>
      </c>
    </row>
    <row r="48035" spans="13:13" x14ac:dyDescent="0.25">
      <c r="M48035" t="s">
        <v>204</v>
      </c>
    </row>
    <row r="48036" spans="13:13" x14ac:dyDescent="0.25">
      <c r="M48036" t="s">
        <v>205</v>
      </c>
    </row>
    <row r="48037" spans="13:13" x14ac:dyDescent="0.25">
      <c r="M48037" t="s">
        <v>206</v>
      </c>
    </row>
    <row r="48038" spans="13:13" x14ac:dyDescent="0.25">
      <c r="M48038" t="s">
        <v>207</v>
      </c>
    </row>
    <row r="48039" spans="13:13" x14ac:dyDescent="0.25">
      <c r="M48039" t="s">
        <v>208</v>
      </c>
    </row>
    <row r="48040" spans="13:13" x14ac:dyDescent="0.25">
      <c r="M48040" t="s">
        <v>209</v>
      </c>
    </row>
    <row r="48041" spans="13:13" x14ac:dyDescent="0.25">
      <c r="M48041" t="s">
        <v>210</v>
      </c>
    </row>
    <row r="48061" spans="13:13" x14ac:dyDescent="0.25">
      <c r="M48061" t="s">
        <v>211</v>
      </c>
    </row>
    <row r="48062" spans="13:13" x14ac:dyDescent="0.25">
      <c r="M48062" t="s">
        <v>212</v>
      </c>
    </row>
    <row r="48063" spans="13:13" x14ac:dyDescent="0.25">
      <c r="M48063" t="s">
        <v>213</v>
      </c>
    </row>
    <row r="48064" spans="13:13" x14ac:dyDescent="0.25">
      <c r="M48064" t="s">
        <v>214</v>
      </c>
    </row>
    <row r="48065" spans="13:13" x14ac:dyDescent="0.25">
      <c r="M48065" t="s">
        <v>215</v>
      </c>
    </row>
    <row r="48066" spans="13:13" x14ac:dyDescent="0.25">
      <c r="M48066" t="s">
        <v>216</v>
      </c>
    </row>
    <row r="48067" spans="13:13" x14ac:dyDescent="0.25">
      <c r="M48067" t="s">
        <v>217</v>
      </c>
    </row>
    <row r="48068" spans="13:13" x14ac:dyDescent="0.25">
      <c r="M48068" t="s">
        <v>218</v>
      </c>
    </row>
    <row r="48069" spans="13:13" x14ac:dyDescent="0.25">
      <c r="M48069" t="s">
        <v>219</v>
      </c>
    </row>
    <row r="48070" spans="13:13" x14ac:dyDescent="0.25">
      <c r="M48070" t="s">
        <v>220</v>
      </c>
    </row>
    <row r="48074" spans="13:13" x14ac:dyDescent="0.25">
      <c r="M48074" t="s">
        <v>221</v>
      </c>
    </row>
    <row r="48075" spans="13:13" x14ac:dyDescent="0.25">
      <c r="M48075" t="s">
        <v>222</v>
      </c>
    </row>
    <row r="48076" spans="13:13" x14ac:dyDescent="0.25">
      <c r="M48076" t="s">
        <v>223</v>
      </c>
    </row>
    <row r="48077" spans="13:13" x14ac:dyDescent="0.25">
      <c r="M48077" t="s">
        <v>224</v>
      </c>
    </row>
    <row r="48078" spans="13:13" x14ac:dyDescent="0.25">
      <c r="M48078" t="s">
        <v>225</v>
      </c>
    </row>
    <row r="48079" spans="13:13" x14ac:dyDescent="0.25">
      <c r="M48079" t="s">
        <v>226</v>
      </c>
    </row>
    <row r="48080" spans="13:13" x14ac:dyDescent="0.25">
      <c r="M48080" t="s">
        <v>227</v>
      </c>
    </row>
    <row r="48081" spans="13:13" x14ac:dyDescent="0.25">
      <c r="M48081" t="s">
        <v>228</v>
      </c>
    </row>
    <row r="48082" spans="13:13" x14ac:dyDescent="0.25">
      <c r="M48082" t="s">
        <v>229</v>
      </c>
    </row>
    <row r="48083" spans="13:13" x14ac:dyDescent="0.25">
      <c r="M48083" t="s">
        <v>230</v>
      </c>
    </row>
    <row r="48084" spans="13:13" x14ac:dyDescent="0.25">
      <c r="M48084" t="s">
        <v>231</v>
      </c>
    </row>
    <row r="48085" spans="13:13" x14ac:dyDescent="0.25">
      <c r="M48085" t="s">
        <v>232</v>
      </c>
    </row>
    <row r="48086" spans="13:13" x14ac:dyDescent="0.25">
      <c r="M48086" t="s">
        <v>233</v>
      </c>
    </row>
    <row r="48087" spans="13:13" x14ac:dyDescent="0.25">
      <c r="M48087" t="s">
        <v>234</v>
      </c>
    </row>
    <row r="48088" spans="13:13" x14ac:dyDescent="0.25">
      <c r="M48088" t="s">
        <v>235</v>
      </c>
    </row>
    <row r="48089" spans="13:13" x14ac:dyDescent="0.25">
      <c r="M48089" t="s">
        <v>236</v>
      </c>
    </row>
    <row r="48090" spans="13:13" x14ac:dyDescent="0.25">
      <c r="M48090" t="s">
        <v>237</v>
      </c>
    </row>
    <row r="48091" spans="13:13" x14ac:dyDescent="0.25">
      <c r="M48091" t="s">
        <v>238</v>
      </c>
    </row>
    <row r="48092" spans="13:13" x14ac:dyDescent="0.25">
      <c r="M48092" t="s">
        <v>239</v>
      </c>
    </row>
    <row r="48093" spans="13:13" x14ac:dyDescent="0.25">
      <c r="M48093" t="s">
        <v>240</v>
      </c>
    </row>
    <row r="48094" spans="13:13" x14ac:dyDescent="0.25">
      <c r="M48094" t="s">
        <v>241</v>
      </c>
    </row>
    <row r="48095" spans="13:13" x14ac:dyDescent="0.25">
      <c r="M48095" t="s">
        <v>242</v>
      </c>
    </row>
    <row r="48096" spans="13:13" x14ac:dyDescent="0.25">
      <c r="M48096" t="s">
        <v>243</v>
      </c>
    </row>
    <row r="48097" spans="13:13" x14ac:dyDescent="0.25">
      <c r="M48097" t="s">
        <v>244</v>
      </c>
    </row>
    <row r="48098" spans="13:13" x14ac:dyDescent="0.25">
      <c r="M48098" t="s">
        <v>245</v>
      </c>
    </row>
    <row r="48099" spans="13:13" x14ac:dyDescent="0.25">
      <c r="M48099" t="s">
        <v>246</v>
      </c>
    </row>
    <row r="48100" spans="13:13" x14ac:dyDescent="0.25">
      <c r="M48100" t="s">
        <v>247</v>
      </c>
    </row>
    <row r="48101" spans="13:13" x14ac:dyDescent="0.25">
      <c r="M48101" t="s">
        <v>248</v>
      </c>
    </row>
    <row r="48102" spans="13:13" x14ac:dyDescent="0.25">
      <c r="M48102" t="s">
        <v>249</v>
      </c>
    </row>
    <row r="48103" spans="13:13" x14ac:dyDescent="0.25">
      <c r="M48103" t="s">
        <v>250</v>
      </c>
    </row>
    <row r="48104" spans="13:13" x14ac:dyDescent="0.25">
      <c r="M48104" t="s">
        <v>251</v>
      </c>
    </row>
    <row r="48105" spans="13:13" x14ac:dyDescent="0.25">
      <c r="M48105" t="s">
        <v>252</v>
      </c>
    </row>
    <row r="48106" spans="13:13" x14ac:dyDescent="0.25">
      <c r="M48106" t="s">
        <v>253</v>
      </c>
    </row>
    <row r="48116" spans="13:13" x14ac:dyDescent="0.25">
      <c r="M48116" t="s">
        <v>254</v>
      </c>
    </row>
    <row r="48117" spans="13:13" x14ac:dyDescent="0.25">
      <c r="M48117" t="s">
        <v>83</v>
      </c>
    </row>
    <row r="48131" spans="13:13" x14ac:dyDescent="0.25">
      <c r="M48131" t="s">
        <v>255</v>
      </c>
    </row>
    <row r="48132" spans="13:13" x14ac:dyDescent="0.25">
      <c r="M48132" t="s">
        <v>256</v>
      </c>
    </row>
    <row r="48133" spans="13:13" x14ac:dyDescent="0.25">
      <c r="M48133" t="s">
        <v>257</v>
      </c>
    </row>
    <row r="48134" spans="13:13" x14ac:dyDescent="0.25">
      <c r="M48134" t="s">
        <v>258</v>
      </c>
    </row>
    <row r="48135" spans="13:13" x14ac:dyDescent="0.25">
      <c r="M48135" t="s">
        <v>259</v>
      </c>
    </row>
    <row r="48136" spans="13:13" x14ac:dyDescent="0.25">
      <c r="M48136" t="s">
        <v>260</v>
      </c>
    </row>
    <row r="48137" spans="13:13" x14ac:dyDescent="0.25">
      <c r="M48137" t="s">
        <v>261</v>
      </c>
    </row>
    <row r="48138" spans="13:13" x14ac:dyDescent="0.25">
      <c r="M48138" t="s">
        <v>262</v>
      </c>
    </row>
    <row r="48139" spans="13:13" x14ac:dyDescent="0.25">
      <c r="M48139" t="s">
        <v>263</v>
      </c>
    </row>
    <row r="48190" spans="13:13" x14ac:dyDescent="0.25">
      <c r="M48190" t="s">
        <v>264</v>
      </c>
    </row>
    <row r="48191" spans="13:13" x14ac:dyDescent="0.25">
      <c r="M48191" t="s">
        <v>265</v>
      </c>
    </row>
    <row r="48192" spans="13:13" x14ac:dyDescent="0.25">
      <c r="M48192" t="s">
        <v>266</v>
      </c>
    </row>
    <row r="48241" spans="13:13" x14ac:dyDescent="0.25">
      <c r="M48241" t="s">
        <v>267</v>
      </c>
    </row>
    <row r="48242" spans="13:13" x14ac:dyDescent="0.25">
      <c r="M48242" t="s">
        <v>268</v>
      </c>
    </row>
    <row r="48243" spans="13:13" x14ac:dyDescent="0.25">
      <c r="M48243" t="s">
        <v>269</v>
      </c>
    </row>
    <row r="48244" spans="13:13" x14ac:dyDescent="0.25">
      <c r="M48244" t="s">
        <v>270</v>
      </c>
    </row>
    <row r="48245" spans="13:13" x14ac:dyDescent="0.25">
      <c r="M48245" t="s">
        <v>271</v>
      </c>
    </row>
    <row r="48246" spans="13:13" x14ac:dyDescent="0.25">
      <c r="M48246" t="s">
        <v>272</v>
      </c>
    </row>
    <row r="48267" spans="13:13" x14ac:dyDescent="0.25">
      <c r="M48267" t="s">
        <v>273</v>
      </c>
    </row>
    <row r="48268" spans="13:13" x14ac:dyDescent="0.25">
      <c r="M48268" t="s">
        <v>274</v>
      </c>
    </row>
    <row r="48271" spans="13:13" x14ac:dyDescent="0.25">
      <c r="M48271" t="s">
        <v>275</v>
      </c>
    </row>
    <row r="48272" spans="13:13" x14ac:dyDescent="0.25">
      <c r="M48272" t="s">
        <v>276</v>
      </c>
    </row>
    <row r="48273" spans="13:13" x14ac:dyDescent="0.25">
      <c r="M48273" t="s">
        <v>277</v>
      </c>
    </row>
    <row r="48278" spans="13:13" x14ac:dyDescent="0.25">
      <c r="M48278" t="s">
        <v>278</v>
      </c>
    </row>
    <row r="48279" spans="13:13" x14ac:dyDescent="0.25">
      <c r="M48279" t="s">
        <v>279</v>
      </c>
    </row>
    <row r="48295" spans="13:13" x14ac:dyDescent="0.25">
      <c r="M48295" t="s">
        <v>203</v>
      </c>
    </row>
    <row r="48296" spans="13:13" x14ac:dyDescent="0.25">
      <c r="M48296" t="s">
        <v>204</v>
      </c>
    </row>
    <row r="48297" spans="13:13" x14ac:dyDescent="0.25">
      <c r="M48297" t="s">
        <v>205</v>
      </c>
    </row>
    <row r="48298" spans="13:13" x14ac:dyDescent="0.25">
      <c r="M48298" t="s">
        <v>206</v>
      </c>
    </row>
    <row r="48299" spans="13:13" x14ac:dyDescent="0.25">
      <c r="M48299" t="s">
        <v>207</v>
      </c>
    </row>
    <row r="48300" spans="13:13" x14ac:dyDescent="0.25">
      <c r="M48300" t="s">
        <v>208</v>
      </c>
    </row>
    <row r="48301" spans="13:13" x14ac:dyDescent="0.25">
      <c r="M48301" t="s">
        <v>209</v>
      </c>
    </row>
    <row r="48302" spans="13:13" x14ac:dyDescent="0.25">
      <c r="M48302" t="s">
        <v>210</v>
      </c>
    </row>
    <row r="48322" spans="13:13" x14ac:dyDescent="0.25">
      <c r="M48322" t="s">
        <v>211</v>
      </c>
    </row>
    <row r="48323" spans="13:13" x14ac:dyDescent="0.25">
      <c r="M48323" t="s">
        <v>212</v>
      </c>
    </row>
    <row r="48324" spans="13:13" x14ac:dyDescent="0.25">
      <c r="M48324" t="s">
        <v>213</v>
      </c>
    </row>
    <row r="48325" spans="13:13" x14ac:dyDescent="0.25">
      <c r="M48325" t="s">
        <v>214</v>
      </c>
    </row>
    <row r="48326" spans="13:13" x14ac:dyDescent="0.25">
      <c r="M48326" t="s">
        <v>215</v>
      </c>
    </row>
    <row r="48327" spans="13:13" x14ac:dyDescent="0.25">
      <c r="M48327" t="s">
        <v>216</v>
      </c>
    </row>
    <row r="48328" spans="13:13" x14ac:dyDescent="0.25">
      <c r="M48328" t="s">
        <v>217</v>
      </c>
    </row>
    <row r="48329" spans="13:13" x14ac:dyDescent="0.25">
      <c r="M48329" t="s">
        <v>218</v>
      </c>
    </row>
    <row r="48330" spans="13:13" x14ac:dyDescent="0.25">
      <c r="M48330" t="s">
        <v>219</v>
      </c>
    </row>
    <row r="48331" spans="13:13" x14ac:dyDescent="0.25">
      <c r="M48331" t="s">
        <v>220</v>
      </c>
    </row>
    <row r="48335" spans="13:13" x14ac:dyDescent="0.25">
      <c r="M48335" t="s">
        <v>221</v>
      </c>
    </row>
    <row r="48336" spans="13:13" x14ac:dyDescent="0.25">
      <c r="M48336" t="s">
        <v>222</v>
      </c>
    </row>
    <row r="48337" spans="13:13" x14ac:dyDescent="0.25">
      <c r="M48337" t="s">
        <v>223</v>
      </c>
    </row>
    <row r="48338" spans="13:13" x14ac:dyDescent="0.25">
      <c r="M48338" t="s">
        <v>224</v>
      </c>
    </row>
    <row r="48339" spans="13:13" x14ac:dyDescent="0.25">
      <c r="M48339" t="s">
        <v>225</v>
      </c>
    </row>
    <row r="48340" spans="13:13" x14ac:dyDescent="0.25">
      <c r="M48340" t="s">
        <v>226</v>
      </c>
    </row>
    <row r="48341" spans="13:13" x14ac:dyDescent="0.25">
      <c r="M48341" t="s">
        <v>227</v>
      </c>
    </row>
    <row r="48342" spans="13:13" x14ac:dyDescent="0.25">
      <c r="M48342" t="s">
        <v>228</v>
      </c>
    </row>
    <row r="48343" spans="13:13" x14ac:dyDescent="0.25">
      <c r="M48343" t="s">
        <v>229</v>
      </c>
    </row>
    <row r="48344" spans="13:13" x14ac:dyDescent="0.25">
      <c r="M48344" t="s">
        <v>230</v>
      </c>
    </row>
    <row r="48345" spans="13:13" x14ac:dyDescent="0.25">
      <c r="M48345" t="s">
        <v>231</v>
      </c>
    </row>
    <row r="48346" spans="13:13" x14ac:dyDescent="0.25">
      <c r="M48346" t="s">
        <v>232</v>
      </c>
    </row>
    <row r="48347" spans="13:13" x14ac:dyDescent="0.25">
      <c r="M48347" t="s">
        <v>233</v>
      </c>
    </row>
    <row r="48348" spans="13:13" x14ac:dyDescent="0.25">
      <c r="M48348" t="s">
        <v>234</v>
      </c>
    </row>
    <row r="48349" spans="13:13" x14ac:dyDescent="0.25">
      <c r="M48349" t="s">
        <v>235</v>
      </c>
    </row>
    <row r="48350" spans="13:13" x14ac:dyDescent="0.25">
      <c r="M48350" t="s">
        <v>236</v>
      </c>
    </row>
    <row r="48351" spans="13:13" x14ac:dyDescent="0.25">
      <c r="M48351" t="s">
        <v>237</v>
      </c>
    </row>
    <row r="48352" spans="13:13" x14ac:dyDescent="0.25">
      <c r="M48352" t="s">
        <v>238</v>
      </c>
    </row>
    <row r="48353" spans="13:13" x14ac:dyDescent="0.25">
      <c r="M48353" t="s">
        <v>239</v>
      </c>
    </row>
    <row r="48354" spans="13:13" x14ac:dyDescent="0.25">
      <c r="M48354" t="s">
        <v>240</v>
      </c>
    </row>
    <row r="48355" spans="13:13" x14ac:dyDescent="0.25">
      <c r="M48355" t="s">
        <v>241</v>
      </c>
    </row>
    <row r="48356" spans="13:13" x14ac:dyDescent="0.25">
      <c r="M48356" t="s">
        <v>242</v>
      </c>
    </row>
    <row r="48357" spans="13:13" x14ac:dyDescent="0.25">
      <c r="M48357" t="s">
        <v>243</v>
      </c>
    </row>
    <row r="48358" spans="13:13" x14ac:dyDescent="0.25">
      <c r="M48358" t="s">
        <v>244</v>
      </c>
    </row>
    <row r="48359" spans="13:13" x14ac:dyDescent="0.25">
      <c r="M48359" t="s">
        <v>245</v>
      </c>
    </row>
    <row r="48360" spans="13:13" x14ac:dyDescent="0.25">
      <c r="M48360" t="s">
        <v>246</v>
      </c>
    </row>
    <row r="48361" spans="13:13" x14ac:dyDescent="0.25">
      <c r="M48361" t="s">
        <v>247</v>
      </c>
    </row>
    <row r="48362" spans="13:13" x14ac:dyDescent="0.25">
      <c r="M48362" t="s">
        <v>248</v>
      </c>
    </row>
    <row r="48363" spans="13:13" x14ac:dyDescent="0.25">
      <c r="M48363" t="s">
        <v>249</v>
      </c>
    </row>
    <row r="48364" spans="13:13" x14ac:dyDescent="0.25">
      <c r="M48364" t="s">
        <v>250</v>
      </c>
    </row>
    <row r="48365" spans="13:13" x14ac:dyDescent="0.25">
      <c r="M48365" t="s">
        <v>251</v>
      </c>
    </row>
    <row r="48366" spans="13:13" x14ac:dyDescent="0.25">
      <c r="M48366" t="s">
        <v>252</v>
      </c>
    </row>
    <row r="48367" spans="13:13" x14ac:dyDescent="0.25">
      <c r="M48367" t="s">
        <v>253</v>
      </c>
    </row>
    <row r="48377" spans="13:13" x14ac:dyDescent="0.25">
      <c r="M48377" t="s">
        <v>254</v>
      </c>
    </row>
    <row r="48378" spans="13:13" x14ac:dyDescent="0.25">
      <c r="M48378" t="s">
        <v>83</v>
      </c>
    </row>
    <row r="48392" spans="13:13" x14ac:dyDescent="0.25">
      <c r="M48392" t="s">
        <v>255</v>
      </c>
    </row>
    <row r="48393" spans="13:13" x14ac:dyDescent="0.25">
      <c r="M48393" t="s">
        <v>256</v>
      </c>
    </row>
    <row r="48394" spans="13:13" x14ac:dyDescent="0.25">
      <c r="M48394" t="s">
        <v>257</v>
      </c>
    </row>
    <row r="48395" spans="13:13" x14ac:dyDescent="0.25">
      <c r="M48395" t="s">
        <v>258</v>
      </c>
    </row>
    <row r="48396" spans="13:13" x14ac:dyDescent="0.25">
      <c r="M48396" t="s">
        <v>259</v>
      </c>
    </row>
    <row r="48397" spans="13:13" x14ac:dyDescent="0.25">
      <c r="M48397" t="s">
        <v>260</v>
      </c>
    </row>
    <row r="48398" spans="13:13" x14ac:dyDescent="0.25">
      <c r="M48398" t="s">
        <v>261</v>
      </c>
    </row>
    <row r="48399" spans="13:13" x14ac:dyDescent="0.25">
      <c r="M48399" t="s">
        <v>262</v>
      </c>
    </row>
    <row r="48400" spans="13:13" x14ac:dyDescent="0.25">
      <c r="M48400" t="s">
        <v>263</v>
      </c>
    </row>
    <row r="48451" spans="13:13" x14ac:dyDescent="0.25">
      <c r="M48451" t="s">
        <v>264</v>
      </c>
    </row>
    <row r="48452" spans="13:13" x14ac:dyDescent="0.25">
      <c r="M48452" t="s">
        <v>265</v>
      </c>
    </row>
    <row r="48453" spans="13:13" x14ac:dyDescent="0.25">
      <c r="M48453" t="s">
        <v>266</v>
      </c>
    </row>
    <row r="48502" spans="13:13" x14ac:dyDescent="0.25">
      <c r="M48502" t="s">
        <v>267</v>
      </c>
    </row>
    <row r="48503" spans="13:13" x14ac:dyDescent="0.25">
      <c r="M48503" t="s">
        <v>268</v>
      </c>
    </row>
    <row r="48504" spans="13:13" x14ac:dyDescent="0.25">
      <c r="M48504" t="s">
        <v>269</v>
      </c>
    </row>
    <row r="48505" spans="13:13" x14ac:dyDescent="0.25">
      <c r="M48505" t="s">
        <v>270</v>
      </c>
    </row>
    <row r="48506" spans="13:13" x14ac:dyDescent="0.25">
      <c r="M48506" t="s">
        <v>271</v>
      </c>
    </row>
    <row r="48507" spans="13:13" x14ac:dyDescent="0.25">
      <c r="M48507" t="s">
        <v>272</v>
      </c>
    </row>
    <row r="48528" spans="13:13" x14ac:dyDescent="0.25">
      <c r="M48528" t="s">
        <v>273</v>
      </c>
    </row>
    <row r="48529" spans="13:13" x14ac:dyDescent="0.25">
      <c r="M48529" t="s">
        <v>274</v>
      </c>
    </row>
    <row r="48532" spans="13:13" x14ac:dyDescent="0.25">
      <c r="M48532" t="s">
        <v>275</v>
      </c>
    </row>
    <row r="48533" spans="13:13" x14ac:dyDescent="0.25">
      <c r="M48533" t="s">
        <v>276</v>
      </c>
    </row>
    <row r="48534" spans="13:13" x14ac:dyDescent="0.25">
      <c r="M48534" t="s">
        <v>277</v>
      </c>
    </row>
    <row r="48539" spans="13:13" x14ac:dyDescent="0.25">
      <c r="M48539" t="s">
        <v>278</v>
      </c>
    </row>
    <row r="48540" spans="13:13" x14ac:dyDescent="0.25">
      <c r="M48540" t="s">
        <v>279</v>
      </c>
    </row>
    <row r="48556" spans="13:13" x14ac:dyDescent="0.25">
      <c r="M48556" t="s">
        <v>203</v>
      </c>
    </row>
    <row r="48557" spans="13:13" x14ac:dyDescent="0.25">
      <c r="M48557" t="s">
        <v>204</v>
      </c>
    </row>
    <row r="48558" spans="13:13" x14ac:dyDescent="0.25">
      <c r="M48558" t="s">
        <v>205</v>
      </c>
    </row>
    <row r="48559" spans="13:13" x14ac:dyDescent="0.25">
      <c r="M48559" t="s">
        <v>206</v>
      </c>
    </row>
    <row r="48560" spans="13:13" x14ac:dyDescent="0.25">
      <c r="M48560" t="s">
        <v>207</v>
      </c>
    </row>
    <row r="48561" spans="13:13" x14ac:dyDescent="0.25">
      <c r="M48561" t="s">
        <v>208</v>
      </c>
    </row>
    <row r="48562" spans="13:13" x14ac:dyDescent="0.25">
      <c r="M48562" t="s">
        <v>209</v>
      </c>
    </row>
    <row r="48563" spans="13:13" x14ac:dyDescent="0.25">
      <c r="M48563" t="s">
        <v>210</v>
      </c>
    </row>
    <row r="48583" spans="13:13" x14ac:dyDescent="0.25">
      <c r="M48583" t="s">
        <v>211</v>
      </c>
    </row>
    <row r="48584" spans="13:13" x14ac:dyDescent="0.25">
      <c r="M48584" t="s">
        <v>212</v>
      </c>
    </row>
    <row r="48585" spans="13:13" x14ac:dyDescent="0.25">
      <c r="M48585" t="s">
        <v>213</v>
      </c>
    </row>
    <row r="48586" spans="13:13" x14ac:dyDescent="0.25">
      <c r="M48586" t="s">
        <v>214</v>
      </c>
    </row>
    <row r="48587" spans="13:13" x14ac:dyDescent="0.25">
      <c r="M48587" t="s">
        <v>215</v>
      </c>
    </row>
    <row r="48588" spans="13:13" x14ac:dyDescent="0.25">
      <c r="M48588" t="s">
        <v>216</v>
      </c>
    </row>
    <row r="48589" spans="13:13" x14ac:dyDescent="0.25">
      <c r="M48589" t="s">
        <v>217</v>
      </c>
    </row>
    <row r="48590" spans="13:13" x14ac:dyDescent="0.25">
      <c r="M48590" t="s">
        <v>218</v>
      </c>
    </row>
    <row r="48591" spans="13:13" x14ac:dyDescent="0.25">
      <c r="M48591" t="s">
        <v>219</v>
      </c>
    </row>
    <row r="48592" spans="13:13" x14ac:dyDescent="0.25">
      <c r="M48592" t="s">
        <v>220</v>
      </c>
    </row>
    <row r="48596" spans="13:13" x14ac:dyDescent="0.25">
      <c r="M48596" t="s">
        <v>221</v>
      </c>
    </row>
    <row r="48597" spans="13:13" x14ac:dyDescent="0.25">
      <c r="M48597" t="s">
        <v>222</v>
      </c>
    </row>
    <row r="48598" spans="13:13" x14ac:dyDescent="0.25">
      <c r="M48598" t="s">
        <v>223</v>
      </c>
    </row>
    <row r="48599" spans="13:13" x14ac:dyDescent="0.25">
      <c r="M48599" t="s">
        <v>224</v>
      </c>
    </row>
    <row r="48600" spans="13:13" x14ac:dyDescent="0.25">
      <c r="M48600" t="s">
        <v>225</v>
      </c>
    </row>
    <row r="48601" spans="13:13" x14ac:dyDescent="0.25">
      <c r="M48601" t="s">
        <v>226</v>
      </c>
    </row>
    <row r="48602" spans="13:13" x14ac:dyDescent="0.25">
      <c r="M48602" t="s">
        <v>227</v>
      </c>
    </row>
    <row r="48603" spans="13:13" x14ac:dyDescent="0.25">
      <c r="M48603" t="s">
        <v>228</v>
      </c>
    </row>
    <row r="48604" spans="13:13" x14ac:dyDescent="0.25">
      <c r="M48604" t="s">
        <v>229</v>
      </c>
    </row>
    <row r="48605" spans="13:13" x14ac:dyDescent="0.25">
      <c r="M48605" t="s">
        <v>230</v>
      </c>
    </row>
    <row r="48606" spans="13:13" x14ac:dyDescent="0.25">
      <c r="M48606" t="s">
        <v>231</v>
      </c>
    </row>
    <row r="48607" spans="13:13" x14ac:dyDescent="0.25">
      <c r="M48607" t="s">
        <v>232</v>
      </c>
    </row>
    <row r="48608" spans="13:13" x14ac:dyDescent="0.25">
      <c r="M48608" t="s">
        <v>233</v>
      </c>
    </row>
    <row r="48609" spans="13:13" x14ac:dyDescent="0.25">
      <c r="M48609" t="s">
        <v>234</v>
      </c>
    </row>
    <row r="48610" spans="13:13" x14ac:dyDescent="0.25">
      <c r="M48610" t="s">
        <v>235</v>
      </c>
    </row>
    <row r="48611" spans="13:13" x14ac:dyDescent="0.25">
      <c r="M48611" t="s">
        <v>236</v>
      </c>
    </row>
    <row r="48612" spans="13:13" x14ac:dyDescent="0.25">
      <c r="M48612" t="s">
        <v>237</v>
      </c>
    </row>
    <row r="48613" spans="13:13" x14ac:dyDescent="0.25">
      <c r="M48613" t="s">
        <v>238</v>
      </c>
    </row>
    <row r="48614" spans="13:13" x14ac:dyDescent="0.25">
      <c r="M48614" t="s">
        <v>239</v>
      </c>
    </row>
    <row r="48615" spans="13:13" x14ac:dyDescent="0.25">
      <c r="M48615" t="s">
        <v>240</v>
      </c>
    </row>
    <row r="48616" spans="13:13" x14ac:dyDescent="0.25">
      <c r="M48616" t="s">
        <v>241</v>
      </c>
    </row>
    <row r="48617" spans="13:13" x14ac:dyDescent="0.25">
      <c r="M48617" t="s">
        <v>242</v>
      </c>
    </row>
    <row r="48618" spans="13:13" x14ac:dyDescent="0.25">
      <c r="M48618" t="s">
        <v>243</v>
      </c>
    </row>
    <row r="48619" spans="13:13" x14ac:dyDescent="0.25">
      <c r="M48619" t="s">
        <v>244</v>
      </c>
    </row>
    <row r="48620" spans="13:13" x14ac:dyDescent="0.25">
      <c r="M48620" t="s">
        <v>245</v>
      </c>
    </row>
    <row r="48621" spans="13:13" x14ac:dyDescent="0.25">
      <c r="M48621" t="s">
        <v>246</v>
      </c>
    </row>
    <row r="48622" spans="13:13" x14ac:dyDescent="0.25">
      <c r="M48622" t="s">
        <v>247</v>
      </c>
    </row>
    <row r="48623" spans="13:13" x14ac:dyDescent="0.25">
      <c r="M48623" t="s">
        <v>248</v>
      </c>
    </row>
    <row r="48624" spans="13:13" x14ac:dyDescent="0.25">
      <c r="M48624" t="s">
        <v>249</v>
      </c>
    </row>
    <row r="48625" spans="13:13" x14ac:dyDescent="0.25">
      <c r="M48625" t="s">
        <v>250</v>
      </c>
    </row>
    <row r="48626" spans="13:13" x14ac:dyDescent="0.25">
      <c r="M48626" t="s">
        <v>251</v>
      </c>
    </row>
    <row r="48627" spans="13:13" x14ac:dyDescent="0.25">
      <c r="M48627" t="s">
        <v>252</v>
      </c>
    </row>
    <row r="48628" spans="13:13" x14ac:dyDescent="0.25">
      <c r="M48628" t="s">
        <v>253</v>
      </c>
    </row>
    <row r="48638" spans="13:13" x14ac:dyDescent="0.25">
      <c r="M48638" t="s">
        <v>254</v>
      </c>
    </row>
    <row r="48639" spans="13:13" x14ac:dyDescent="0.25">
      <c r="M48639" t="s">
        <v>83</v>
      </c>
    </row>
    <row r="48653" spans="13:13" x14ac:dyDescent="0.25">
      <c r="M48653" t="s">
        <v>255</v>
      </c>
    </row>
    <row r="48654" spans="13:13" x14ac:dyDescent="0.25">
      <c r="M48654" t="s">
        <v>256</v>
      </c>
    </row>
    <row r="48655" spans="13:13" x14ac:dyDescent="0.25">
      <c r="M48655" t="s">
        <v>257</v>
      </c>
    </row>
    <row r="48656" spans="13:13" x14ac:dyDescent="0.25">
      <c r="M48656" t="s">
        <v>258</v>
      </c>
    </row>
    <row r="48657" spans="13:13" x14ac:dyDescent="0.25">
      <c r="M48657" t="s">
        <v>259</v>
      </c>
    </row>
    <row r="48658" spans="13:13" x14ac:dyDescent="0.25">
      <c r="M48658" t="s">
        <v>260</v>
      </c>
    </row>
    <row r="48659" spans="13:13" x14ac:dyDescent="0.25">
      <c r="M48659" t="s">
        <v>261</v>
      </c>
    </row>
    <row r="48660" spans="13:13" x14ac:dyDescent="0.25">
      <c r="M48660" t="s">
        <v>262</v>
      </c>
    </row>
    <row r="48661" spans="13:13" x14ac:dyDescent="0.25">
      <c r="M48661" t="s">
        <v>263</v>
      </c>
    </row>
    <row r="48712" spans="13:13" x14ac:dyDescent="0.25">
      <c r="M48712" t="s">
        <v>264</v>
      </c>
    </row>
    <row r="48713" spans="13:13" x14ac:dyDescent="0.25">
      <c r="M48713" t="s">
        <v>265</v>
      </c>
    </row>
    <row r="48714" spans="13:13" x14ac:dyDescent="0.25">
      <c r="M48714" t="s">
        <v>266</v>
      </c>
    </row>
    <row r="48763" spans="13:13" x14ac:dyDescent="0.25">
      <c r="M48763" t="s">
        <v>267</v>
      </c>
    </row>
    <row r="48764" spans="13:13" x14ac:dyDescent="0.25">
      <c r="M48764" t="s">
        <v>268</v>
      </c>
    </row>
    <row r="48765" spans="13:13" x14ac:dyDescent="0.25">
      <c r="M48765" t="s">
        <v>269</v>
      </c>
    </row>
    <row r="48766" spans="13:13" x14ac:dyDescent="0.25">
      <c r="M48766" t="s">
        <v>270</v>
      </c>
    </row>
    <row r="48767" spans="13:13" x14ac:dyDescent="0.25">
      <c r="M48767" t="s">
        <v>271</v>
      </c>
    </row>
    <row r="48768" spans="13:13" x14ac:dyDescent="0.25">
      <c r="M48768" t="s">
        <v>272</v>
      </c>
    </row>
    <row r="48789" spans="13:13" x14ac:dyDescent="0.25">
      <c r="M48789" t="s">
        <v>273</v>
      </c>
    </row>
    <row r="48790" spans="13:13" x14ac:dyDescent="0.25">
      <c r="M48790" t="s">
        <v>274</v>
      </c>
    </row>
    <row r="48793" spans="13:13" x14ac:dyDescent="0.25">
      <c r="M48793" t="s">
        <v>275</v>
      </c>
    </row>
    <row r="48794" spans="13:13" x14ac:dyDescent="0.25">
      <c r="M48794" t="s">
        <v>276</v>
      </c>
    </row>
    <row r="48795" spans="13:13" x14ac:dyDescent="0.25">
      <c r="M48795" t="s">
        <v>277</v>
      </c>
    </row>
    <row r="48800" spans="13:13" x14ac:dyDescent="0.25">
      <c r="M48800" t="s">
        <v>278</v>
      </c>
    </row>
    <row r="48801" spans="13:13" x14ac:dyDescent="0.25">
      <c r="M48801" t="s">
        <v>279</v>
      </c>
    </row>
    <row r="48817" spans="13:13" x14ac:dyDescent="0.25">
      <c r="M48817" t="s">
        <v>203</v>
      </c>
    </row>
    <row r="48818" spans="13:13" x14ac:dyDescent="0.25">
      <c r="M48818" t="s">
        <v>204</v>
      </c>
    </row>
    <row r="48819" spans="13:13" x14ac:dyDescent="0.25">
      <c r="M48819" t="s">
        <v>205</v>
      </c>
    </row>
    <row r="48820" spans="13:13" x14ac:dyDescent="0.25">
      <c r="M48820" t="s">
        <v>206</v>
      </c>
    </row>
    <row r="48821" spans="13:13" x14ac:dyDescent="0.25">
      <c r="M48821" t="s">
        <v>207</v>
      </c>
    </row>
    <row r="48822" spans="13:13" x14ac:dyDescent="0.25">
      <c r="M48822" t="s">
        <v>208</v>
      </c>
    </row>
    <row r="48823" spans="13:13" x14ac:dyDescent="0.25">
      <c r="M48823" t="s">
        <v>209</v>
      </c>
    </row>
    <row r="48824" spans="13:13" x14ac:dyDescent="0.25">
      <c r="M48824" t="s">
        <v>210</v>
      </c>
    </row>
    <row r="48844" spans="13:13" x14ac:dyDescent="0.25">
      <c r="M48844" t="s">
        <v>211</v>
      </c>
    </row>
    <row r="48845" spans="13:13" x14ac:dyDescent="0.25">
      <c r="M48845" t="s">
        <v>212</v>
      </c>
    </row>
    <row r="48846" spans="13:13" x14ac:dyDescent="0.25">
      <c r="M48846" t="s">
        <v>213</v>
      </c>
    </row>
    <row r="48847" spans="13:13" x14ac:dyDescent="0.25">
      <c r="M48847" t="s">
        <v>214</v>
      </c>
    </row>
    <row r="48848" spans="13:13" x14ac:dyDescent="0.25">
      <c r="M48848" t="s">
        <v>215</v>
      </c>
    </row>
    <row r="48849" spans="13:13" x14ac:dyDescent="0.25">
      <c r="M48849" t="s">
        <v>216</v>
      </c>
    </row>
    <row r="48850" spans="13:13" x14ac:dyDescent="0.25">
      <c r="M48850" t="s">
        <v>217</v>
      </c>
    </row>
    <row r="48851" spans="13:13" x14ac:dyDescent="0.25">
      <c r="M48851" t="s">
        <v>218</v>
      </c>
    </row>
    <row r="48852" spans="13:13" x14ac:dyDescent="0.25">
      <c r="M48852" t="s">
        <v>219</v>
      </c>
    </row>
    <row r="48853" spans="13:13" x14ac:dyDescent="0.25">
      <c r="M48853" t="s">
        <v>220</v>
      </c>
    </row>
    <row r="48857" spans="13:13" x14ac:dyDescent="0.25">
      <c r="M48857" t="s">
        <v>221</v>
      </c>
    </row>
    <row r="48858" spans="13:13" x14ac:dyDescent="0.25">
      <c r="M48858" t="s">
        <v>222</v>
      </c>
    </row>
    <row r="48859" spans="13:13" x14ac:dyDescent="0.25">
      <c r="M48859" t="s">
        <v>223</v>
      </c>
    </row>
    <row r="48860" spans="13:13" x14ac:dyDescent="0.25">
      <c r="M48860" t="s">
        <v>224</v>
      </c>
    </row>
    <row r="48861" spans="13:13" x14ac:dyDescent="0.25">
      <c r="M48861" t="s">
        <v>225</v>
      </c>
    </row>
    <row r="48862" spans="13:13" x14ac:dyDescent="0.25">
      <c r="M48862" t="s">
        <v>226</v>
      </c>
    </row>
    <row r="48863" spans="13:13" x14ac:dyDescent="0.25">
      <c r="M48863" t="s">
        <v>227</v>
      </c>
    </row>
    <row r="48864" spans="13:13" x14ac:dyDescent="0.25">
      <c r="M48864" t="s">
        <v>228</v>
      </c>
    </row>
    <row r="48865" spans="13:13" x14ac:dyDescent="0.25">
      <c r="M48865" t="s">
        <v>229</v>
      </c>
    </row>
    <row r="48866" spans="13:13" x14ac:dyDescent="0.25">
      <c r="M48866" t="s">
        <v>230</v>
      </c>
    </row>
    <row r="48867" spans="13:13" x14ac:dyDescent="0.25">
      <c r="M48867" t="s">
        <v>231</v>
      </c>
    </row>
    <row r="48868" spans="13:13" x14ac:dyDescent="0.25">
      <c r="M48868" t="s">
        <v>232</v>
      </c>
    </row>
    <row r="48869" spans="13:13" x14ac:dyDescent="0.25">
      <c r="M48869" t="s">
        <v>233</v>
      </c>
    </row>
    <row r="48870" spans="13:13" x14ac:dyDescent="0.25">
      <c r="M48870" t="s">
        <v>234</v>
      </c>
    </row>
    <row r="48871" spans="13:13" x14ac:dyDescent="0.25">
      <c r="M48871" t="s">
        <v>235</v>
      </c>
    </row>
    <row r="48872" spans="13:13" x14ac:dyDescent="0.25">
      <c r="M48872" t="s">
        <v>236</v>
      </c>
    </row>
    <row r="48873" spans="13:13" x14ac:dyDescent="0.25">
      <c r="M48873" t="s">
        <v>237</v>
      </c>
    </row>
    <row r="48874" spans="13:13" x14ac:dyDescent="0.25">
      <c r="M48874" t="s">
        <v>238</v>
      </c>
    </row>
    <row r="48875" spans="13:13" x14ac:dyDescent="0.25">
      <c r="M48875" t="s">
        <v>239</v>
      </c>
    </row>
    <row r="48876" spans="13:13" x14ac:dyDescent="0.25">
      <c r="M48876" t="s">
        <v>240</v>
      </c>
    </row>
    <row r="48877" spans="13:13" x14ac:dyDescent="0.25">
      <c r="M48877" t="s">
        <v>241</v>
      </c>
    </row>
    <row r="48878" spans="13:13" x14ac:dyDescent="0.25">
      <c r="M48878" t="s">
        <v>242</v>
      </c>
    </row>
    <row r="48879" spans="13:13" x14ac:dyDescent="0.25">
      <c r="M48879" t="s">
        <v>243</v>
      </c>
    </row>
    <row r="48880" spans="13:13" x14ac:dyDescent="0.25">
      <c r="M48880" t="s">
        <v>244</v>
      </c>
    </row>
    <row r="48881" spans="13:13" x14ac:dyDescent="0.25">
      <c r="M48881" t="s">
        <v>245</v>
      </c>
    </row>
    <row r="48882" spans="13:13" x14ac:dyDescent="0.25">
      <c r="M48882" t="s">
        <v>246</v>
      </c>
    </row>
    <row r="48883" spans="13:13" x14ac:dyDescent="0.25">
      <c r="M48883" t="s">
        <v>247</v>
      </c>
    </row>
    <row r="48884" spans="13:13" x14ac:dyDescent="0.25">
      <c r="M48884" t="s">
        <v>248</v>
      </c>
    </row>
    <row r="48885" spans="13:13" x14ac:dyDescent="0.25">
      <c r="M48885" t="s">
        <v>249</v>
      </c>
    </row>
    <row r="48886" spans="13:13" x14ac:dyDescent="0.25">
      <c r="M48886" t="s">
        <v>250</v>
      </c>
    </row>
    <row r="48887" spans="13:13" x14ac:dyDescent="0.25">
      <c r="M48887" t="s">
        <v>251</v>
      </c>
    </row>
    <row r="48888" spans="13:13" x14ac:dyDescent="0.25">
      <c r="M48888" t="s">
        <v>252</v>
      </c>
    </row>
    <row r="48889" spans="13:13" x14ac:dyDescent="0.25">
      <c r="M48889" t="s">
        <v>253</v>
      </c>
    </row>
    <row r="48899" spans="13:13" x14ac:dyDescent="0.25">
      <c r="M48899" t="s">
        <v>254</v>
      </c>
    </row>
    <row r="48900" spans="13:13" x14ac:dyDescent="0.25">
      <c r="M48900" t="s">
        <v>83</v>
      </c>
    </row>
    <row r="48914" spans="13:13" x14ac:dyDescent="0.25">
      <c r="M48914" t="s">
        <v>255</v>
      </c>
    </row>
    <row r="48915" spans="13:13" x14ac:dyDescent="0.25">
      <c r="M48915" t="s">
        <v>256</v>
      </c>
    </row>
    <row r="48916" spans="13:13" x14ac:dyDescent="0.25">
      <c r="M48916" t="s">
        <v>257</v>
      </c>
    </row>
    <row r="48917" spans="13:13" x14ac:dyDescent="0.25">
      <c r="M48917" t="s">
        <v>258</v>
      </c>
    </row>
    <row r="48918" spans="13:13" x14ac:dyDescent="0.25">
      <c r="M48918" t="s">
        <v>259</v>
      </c>
    </row>
    <row r="48919" spans="13:13" x14ac:dyDescent="0.25">
      <c r="M48919" t="s">
        <v>260</v>
      </c>
    </row>
    <row r="48920" spans="13:13" x14ac:dyDescent="0.25">
      <c r="M48920" t="s">
        <v>261</v>
      </c>
    </row>
    <row r="48921" spans="13:13" x14ac:dyDescent="0.25">
      <c r="M48921" t="s">
        <v>262</v>
      </c>
    </row>
    <row r="48922" spans="13:13" x14ac:dyDescent="0.25">
      <c r="M48922" t="s">
        <v>263</v>
      </c>
    </row>
    <row r="48973" spans="13:13" x14ac:dyDescent="0.25">
      <c r="M48973" t="s">
        <v>264</v>
      </c>
    </row>
    <row r="48974" spans="13:13" x14ac:dyDescent="0.25">
      <c r="M48974" t="s">
        <v>265</v>
      </c>
    </row>
    <row r="48975" spans="13:13" x14ac:dyDescent="0.25">
      <c r="M48975" t="s">
        <v>266</v>
      </c>
    </row>
    <row r="49024" spans="13:13" x14ac:dyDescent="0.25">
      <c r="M49024" t="s">
        <v>267</v>
      </c>
    </row>
    <row r="49025" spans="13:13" x14ac:dyDescent="0.25">
      <c r="M49025" t="s">
        <v>268</v>
      </c>
    </row>
    <row r="49026" spans="13:13" x14ac:dyDescent="0.25">
      <c r="M49026" t="s">
        <v>269</v>
      </c>
    </row>
    <row r="49027" spans="13:13" x14ac:dyDescent="0.25">
      <c r="M49027" t="s">
        <v>270</v>
      </c>
    </row>
    <row r="49028" spans="13:13" x14ac:dyDescent="0.25">
      <c r="M49028" t="s">
        <v>271</v>
      </c>
    </row>
    <row r="49029" spans="13:13" x14ac:dyDescent="0.25">
      <c r="M49029" t="s">
        <v>272</v>
      </c>
    </row>
    <row r="49050" spans="13:13" x14ac:dyDescent="0.25">
      <c r="M49050" t="s">
        <v>273</v>
      </c>
    </row>
    <row r="49051" spans="13:13" x14ac:dyDescent="0.25">
      <c r="M49051" t="s">
        <v>274</v>
      </c>
    </row>
    <row r="49054" spans="13:13" x14ac:dyDescent="0.25">
      <c r="M49054" t="s">
        <v>275</v>
      </c>
    </row>
    <row r="49055" spans="13:13" x14ac:dyDescent="0.25">
      <c r="M49055" t="s">
        <v>276</v>
      </c>
    </row>
    <row r="49056" spans="13:13" x14ac:dyDescent="0.25">
      <c r="M49056" t="s">
        <v>277</v>
      </c>
    </row>
    <row r="49061" spans="13:13" x14ac:dyDescent="0.25">
      <c r="M49061" t="s">
        <v>278</v>
      </c>
    </row>
    <row r="49062" spans="13:13" x14ac:dyDescent="0.25">
      <c r="M49062" t="s">
        <v>279</v>
      </c>
    </row>
  </sheetData>
  <autoFilter ref="B1:L4692" xr:uid="{00000000-0009-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9C73C-DDC2-416A-94EB-08F54E9E6D53}">
  <dimension ref="A1:V189"/>
  <sheetViews>
    <sheetView workbookViewId="0">
      <selection activeCell="H19" sqref="A1:V189"/>
    </sheetView>
  </sheetViews>
  <sheetFormatPr defaultRowHeight="15" x14ac:dyDescent="0.25"/>
  <cols>
    <col min="1" max="1" width="9.5703125" customWidth="1"/>
    <col min="2" max="2" width="31.140625" customWidth="1"/>
    <col min="3" max="3" width="11" bestFit="1" customWidth="1"/>
    <col min="7" max="7" width="23" bestFit="1" customWidth="1"/>
    <col min="8" max="8" width="21.140625" bestFit="1" customWidth="1"/>
    <col min="9" max="9" width="15.5703125" bestFit="1" customWidth="1"/>
    <col min="10" max="10" width="19" bestFit="1" customWidth="1"/>
    <col min="11" max="11" width="21.7109375" bestFit="1" customWidth="1"/>
    <col min="12" max="12" width="26.7109375" bestFit="1" customWidth="1"/>
    <col min="13" max="13" width="10.42578125" bestFit="1" customWidth="1"/>
    <col min="14" max="14" width="11.5703125" bestFit="1" customWidth="1"/>
    <col min="15" max="15" width="15" bestFit="1" customWidth="1"/>
    <col min="16" max="16" width="11.5703125" bestFit="1" customWidth="1"/>
    <col min="17" max="17" width="14.42578125" bestFit="1" customWidth="1"/>
    <col min="18" max="18" width="18.7109375" bestFit="1" customWidth="1"/>
    <col min="19" max="19" width="14.85546875" bestFit="1" customWidth="1"/>
    <col min="20" max="20" width="10" bestFit="1" customWidth="1"/>
    <col min="21" max="21" width="13.28515625" bestFit="1" customWidth="1"/>
    <col min="22" max="22" width="17" bestFit="1" customWidth="1"/>
  </cols>
  <sheetData>
    <row r="1" spans="1:22" ht="15.75" x14ac:dyDescent="0.25">
      <c r="A1" s="4" t="s">
        <v>280</v>
      </c>
      <c r="B1" s="1" t="s">
        <v>0</v>
      </c>
      <c r="C1" s="4" t="s">
        <v>282</v>
      </c>
      <c r="D1" s="4" t="s">
        <v>1</v>
      </c>
      <c r="E1" s="4" t="s">
        <v>2</v>
      </c>
      <c r="F1" s="4" t="s">
        <v>3</v>
      </c>
      <c r="G1" s="1" t="s">
        <v>4</v>
      </c>
      <c r="H1" s="1" t="s">
        <v>5</v>
      </c>
      <c r="I1" s="1" t="s">
        <v>6</v>
      </c>
      <c r="J1" s="1" t="s">
        <v>7</v>
      </c>
      <c r="K1" s="1" t="s">
        <v>8</v>
      </c>
      <c r="L1" s="4" t="s">
        <v>202</v>
      </c>
      <c r="M1" s="4" t="s">
        <v>283</v>
      </c>
      <c r="N1" s="4" t="s">
        <v>284</v>
      </c>
      <c r="O1" s="4" t="s">
        <v>285</v>
      </c>
      <c r="P1" s="4" t="s">
        <v>286</v>
      </c>
      <c r="Q1" s="4" t="s">
        <v>287</v>
      </c>
      <c r="R1" s="4" t="s">
        <v>296</v>
      </c>
      <c r="S1" s="4" t="s">
        <v>288</v>
      </c>
      <c r="T1" s="4" t="s">
        <v>289</v>
      </c>
      <c r="U1" s="4" t="s">
        <v>290</v>
      </c>
      <c r="V1" s="4" t="s">
        <v>281</v>
      </c>
    </row>
    <row r="2" spans="1:22" x14ac:dyDescent="0.25">
      <c r="A2" s="3">
        <v>43852</v>
      </c>
      <c r="B2" t="s">
        <v>9</v>
      </c>
      <c r="C2">
        <v>331198130</v>
      </c>
      <c r="D2">
        <v>0</v>
      </c>
      <c r="E2">
        <v>0</v>
      </c>
      <c r="F2">
        <v>0</v>
      </c>
      <c r="G2" s="2">
        <v>69.489999999999995</v>
      </c>
      <c r="H2">
        <v>35526</v>
      </c>
      <c r="I2">
        <v>737</v>
      </c>
      <c r="J2" s="2">
        <v>2.0699999999999998</v>
      </c>
      <c r="K2" t="s">
        <v>10</v>
      </c>
      <c r="L2" t="s">
        <v>203</v>
      </c>
      <c r="M2">
        <v>5032179</v>
      </c>
      <c r="N2">
        <v>162804</v>
      </c>
      <c r="O2">
        <v>2576668</v>
      </c>
      <c r="P2">
        <v>2292707</v>
      </c>
      <c r="Q2">
        <v>18296</v>
      </c>
      <c r="R2">
        <v>15194</v>
      </c>
      <c r="S2">
        <v>492</v>
      </c>
      <c r="T2">
        <v>63139605</v>
      </c>
      <c r="U2">
        <v>190640</v>
      </c>
      <c r="V2" t="s">
        <v>291</v>
      </c>
    </row>
    <row r="3" spans="1:22" x14ac:dyDescent="0.25">
      <c r="A3" s="3">
        <v>43853</v>
      </c>
      <c r="B3" t="s">
        <v>11</v>
      </c>
      <c r="C3">
        <v>212710692</v>
      </c>
      <c r="D3">
        <v>99</v>
      </c>
      <c r="E3">
        <v>1</v>
      </c>
      <c r="F3">
        <v>2</v>
      </c>
      <c r="G3" s="2">
        <v>56.25</v>
      </c>
      <c r="H3">
        <v>4171</v>
      </c>
      <c r="I3">
        <v>709</v>
      </c>
      <c r="J3" s="2">
        <v>17</v>
      </c>
      <c r="K3" t="s">
        <v>12</v>
      </c>
      <c r="L3" t="s">
        <v>203</v>
      </c>
      <c r="M3">
        <v>2917562</v>
      </c>
      <c r="N3">
        <v>98644</v>
      </c>
      <c r="O3">
        <v>2047660</v>
      </c>
      <c r="P3">
        <v>771258</v>
      </c>
      <c r="Q3">
        <v>8318</v>
      </c>
      <c r="R3">
        <v>13716</v>
      </c>
      <c r="S3">
        <v>464</v>
      </c>
      <c r="T3">
        <v>13206188</v>
      </c>
      <c r="U3">
        <v>62085</v>
      </c>
      <c r="V3" t="s">
        <v>292</v>
      </c>
    </row>
    <row r="4" spans="1:22" x14ac:dyDescent="0.25">
      <c r="A4" s="3">
        <v>43854</v>
      </c>
      <c r="B4" t="s">
        <v>13</v>
      </c>
      <c r="C4">
        <v>1381344997</v>
      </c>
      <c r="D4">
        <v>287</v>
      </c>
      <c r="E4">
        <v>8</v>
      </c>
      <c r="F4">
        <v>6</v>
      </c>
      <c r="G4" s="2">
        <v>67.34</v>
      </c>
      <c r="H4">
        <v>23691</v>
      </c>
      <c r="I4">
        <v>4282</v>
      </c>
      <c r="J4" s="2">
        <v>18.07</v>
      </c>
      <c r="K4" t="s">
        <v>14</v>
      </c>
      <c r="L4" t="s">
        <v>203</v>
      </c>
      <c r="M4">
        <v>2025409</v>
      </c>
      <c r="N4">
        <v>41638</v>
      </c>
      <c r="O4">
        <v>1377384</v>
      </c>
      <c r="P4">
        <v>606387</v>
      </c>
      <c r="Q4">
        <v>8944</v>
      </c>
      <c r="R4">
        <v>1466</v>
      </c>
      <c r="S4">
        <v>30</v>
      </c>
      <c r="T4">
        <v>22149351</v>
      </c>
      <c r="U4">
        <v>16035</v>
      </c>
      <c r="V4" t="s">
        <v>293</v>
      </c>
    </row>
    <row r="5" spans="1:22" x14ac:dyDescent="0.25">
      <c r="A5" s="3">
        <v>43855</v>
      </c>
      <c r="B5" t="s">
        <v>15</v>
      </c>
      <c r="C5">
        <v>145940924</v>
      </c>
      <c r="D5">
        <v>493</v>
      </c>
      <c r="E5">
        <v>16</v>
      </c>
      <c r="F5">
        <v>3</v>
      </c>
      <c r="G5" s="2">
        <v>88.53</v>
      </c>
      <c r="H5">
        <v>884</v>
      </c>
      <c r="I5">
        <v>23</v>
      </c>
      <c r="J5" s="2">
        <v>2.6</v>
      </c>
      <c r="K5" t="s">
        <v>12</v>
      </c>
      <c r="L5" t="s">
        <v>203</v>
      </c>
      <c r="M5">
        <v>871894</v>
      </c>
      <c r="N5">
        <v>14606</v>
      </c>
      <c r="O5">
        <v>676357</v>
      </c>
      <c r="P5">
        <v>180931</v>
      </c>
      <c r="Q5">
        <v>2300</v>
      </c>
      <c r="R5">
        <v>5974</v>
      </c>
      <c r="S5">
        <v>100</v>
      </c>
      <c r="T5">
        <v>29716907</v>
      </c>
      <c r="U5">
        <v>203623</v>
      </c>
      <c r="V5" t="s">
        <v>12</v>
      </c>
    </row>
    <row r="6" spans="1:22" x14ac:dyDescent="0.25">
      <c r="A6" s="3">
        <v>43856</v>
      </c>
      <c r="B6" t="s">
        <v>16</v>
      </c>
      <c r="C6">
        <v>59381566</v>
      </c>
      <c r="D6">
        <v>684</v>
      </c>
      <c r="E6">
        <v>14</v>
      </c>
      <c r="F6">
        <v>13</v>
      </c>
      <c r="G6" s="2">
        <v>25.47</v>
      </c>
      <c r="H6">
        <v>749</v>
      </c>
      <c r="I6">
        <v>201</v>
      </c>
      <c r="J6" s="2">
        <v>26.84</v>
      </c>
      <c r="K6" t="s">
        <v>14</v>
      </c>
      <c r="L6" t="s">
        <v>203</v>
      </c>
      <c r="M6">
        <v>538184</v>
      </c>
      <c r="N6">
        <v>9604</v>
      </c>
      <c r="O6">
        <v>387316</v>
      </c>
      <c r="P6">
        <v>141264</v>
      </c>
      <c r="Q6">
        <v>539</v>
      </c>
      <c r="R6">
        <v>9063</v>
      </c>
      <c r="S6">
        <v>162</v>
      </c>
      <c r="T6">
        <v>3149807</v>
      </c>
      <c r="U6">
        <v>53044</v>
      </c>
      <c r="V6" t="s">
        <v>14</v>
      </c>
    </row>
    <row r="7" spans="1:22" x14ac:dyDescent="0.25">
      <c r="A7" s="3">
        <v>43857</v>
      </c>
      <c r="B7" t="s">
        <v>17</v>
      </c>
      <c r="C7">
        <v>129066160</v>
      </c>
      <c r="D7">
        <v>809</v>
      </c>
      <c r="E7">
        <v>26</v>
      </c>
      <c r="F7">
        <v>9</v>
      </c>
      <c r="G7" s="2">
        <v>75.58</v>
      </c>
      <c r="H7">
        <v>76</v>
      </c>
      <c r="I7">
        <v>10</v>
      </c>
      <c r="J7" s="2">
        <v>13.16</v>
      </c>
      <c r="K7" t="s">
        <v>18</v>
      </c>
      <c r="L7" t="s">
        <v>203</v>
      </c>
      <c r="M7">
        <v>462690</v>
      </c>
      <c r="N7">
        <v>50517</v>
      </c>
      <c r="O7">
        <v>308848</v>
      </c>
      <c r="P7">
        <v>103325</v>
      </c>
      <c r="Q7">
        <v>3987</v>
      </c>
      <c r="R7">
        <v>3585</v>
      </c>
      <c r="S7">
        <v>391</v>
      </c>
      <c r="T7">
        <v>1056915</v>
      </c>
      <c r="U7">
        <v>8189</v>
      </c>
      <c r="V7" t="s">
        <v>291</v>
      </c>
    </row>
    <row r="8" spans="1:22" x14ac:dyDescent="0.25">
      <c r="A8" s="3">
        <v>43858</v>
      </c>
      <c r="B8" t="s">
        <v>19</v>
      </c>
      <c r="C8">
        <v>33016319</v>
      </c>
      <c r="D8">
        <v>2651</v>
      </c>
      <c r="E8">
        <v>49</v>
      </c>
      <c r="F8">
        <v>46</v>
      </c>
      <c r="G8" s="2">
        <v>43.35</v>
      </c>
      <c r="H8">
        <v>130774</v>
      </c>
      <c r="I8">
        <v>36642</v>
      </c>
      <c r="J8" s="2">
        <v>28.02</v>
      </c>
      <c r="K8" t="s">
        <v>18</v>
      </c>
      <c r="L8" t="s">
        <v>203</v>
      </c>
      <c r="M8">
        <v>455409</v>
      </c>
      <c r="N8">
        <v>20424</v>
      </c>
      <c r="O8">
        <v>310337</v>
      </c>
      <c r="P8">
        <v>124648</v>
      </c>
      <c r="Q8">
        <v>1426</v>
      </c>
      <c r="R8">
        <v>13793</v>
      </c>
      <c r="S8">
        <v>619</v>
      </c>
      <c r="T8">
        <v>2493429</v>
      </c>
      <c r="U8">
        <v>75521</v>
      </c>
      <c r="V8" t="s">
        <v>292</v>
      </c>
    </row>
    <row r="9" spans="1:22" x14ac:dyDescent="0.25">
      <c r="A9" s="3">
        <v>43859</v>
      </c>
      <c r="B9" t="s">
        <v>20</v>
      </c>
      <c r="C9">
        <v>19132514</v>
      </c>
      <c r="D9">
        <v>588</v>
      </c>
      <c r="E9">
        <v>2</v>
      </c>
      <c r="F9">
        <v>18</v>
      </c>
      <c r="G9" s="2">
        <v>71.319999999999993</v>
      </c>
      <c r="H9">
        <v>34981</v>
      </c>
      <c r="I9">
        <v>2409</v>
      </c>
      <c r="J9" s="2">
        <v>6.89</v>
      </c>
      <c r="K9" t="s">
        <v>12</v>
      </c>
      <c r="L9" t="s">
        <v>203</v>
      </c>
      <c r="M9">
        <v>366671</v>
      </c>
      <c r="N9">
        <v>9889</v>
      </c>
      <c r="O9">
        <v>340168</v>
      </c>
      <c r="P9">
        <v>16614</v>
      </c>
      <c r="Q9">
        <v>1358</v>
      </c>
      <c r="R9">
        <v>19165</v>
      </c>
      <c r="S9">
        <v>517</v>
      </c>
      <c r="T9">
        <v>1760615</v>
      </c>
      <c r="U9">
        <v>92022</v>
      </c>
      <c r="V9" t="s">
        <v>292</v>
      </c>
    </row>
    <row r="10" spans="1:22" x14ac:dyDescent="0.25">
      <c r="A10" s="3">
        <v>43860</v>
      </c>
      <c r="B10" t="s">
        <v>21</v>
      </c>
      <c r="C10">
        <v>50936262</v>
      </c>
      <c r="D10">
        <v>2068</v>
      </c>
      <c r="E10">
        <v>38</v>
      </c>
      <c r="F10">
        <v>16</v>
      </c>
      <c r="G10" s="2">
        <v>60.84</v>
      </c>
      <c r="H10">
        <v>12428</v>
      </c>
      <c r="I10">
        <v>2875</v>
      </c>
      <c r="J10" s="2">
        <v>23.13</v>
      </c>
      <c r="K10" t="s">
        <v>22</v>
      </c>
      <c r="L10" t="s">
        <v>203</v>
      </c>
      <c r="M10">
        <v>357710</v>
      </c>
      <c r="N10">
        <v>11939</v>
      </c>
      <c r="O10">
        <v>192355</v>
      </c>
      <c r="P10">
        <v>153416</v>
      </c>
      <c r="Q10">
        <v>1493</v>
      </c>
      <c r="R10">
        <v>7023</v>
      </c>
      <c r="S10">
        <v>234</v>
      </c>
      <c r="T10">
        <v>1801835</v>
      </c>
      <c r="U10">
        <v>35374</v>
      </c>
      <c r="V10" t="s">
        <v>292</v>
      </c>
    </row>
    <row r="11" spans="1:22" x14ac:dyDescent="0.25">
      <c r="A11" s="3">
        <v>43861</v>
      </c>
      <c r="B11" t="s">
        <v>23</v>
      </c>
      <c r="C11">
        <v>46756648</v>
      </c>
      <c r="D11">
        <v>1693</v>
      </c>
      <c r="E11">
        <v>42</v>
      </c>
      <c r="F11">
        <v>78</v>
      </c>
      <c r="G11" s="2">
        <v>88.75</v>
      </c>
      <c r="H11">
        <v>19743</v>
      </c>
      <c r="I11">
        <v>815</v>
      </c>
      <c r="J11" s="2">
        <v>4.13</v>
      </c>
      <c r="K11" t="s">
        <v>12</v>
      </c>
      <c r="L11" t="s">
        <v>204</v>
      </c>
      <c r="M11">
        <v>354530</v>
      </c>
      <c r="N11">
        <v>28500</v>
      </c>
      <c r="O11">
        <v>0</v>
      </c>
      <c r="P11">
        <v>153416</v>
      </c>
      <c r="Q11">
        <v>617</v>
      </c>
      <c r="R11">
        <v>7582</v>
      </c>
      <c r="S11">
        <v>610</v>
      </c>
      <c r="T11">
        <v>7064329</v>
      </c>
      <c r="U11">
        <v>151087</v>
      </c>
      <c r="V11" t="s">
        <v>12</v>
      </c>
    </row>
    <row r="12" spans="1:22" x14ac:dyDescent="0.25">
      <c r="A12" s="3">
        <v>43862</v>
      </c>
      <c r="B12" t="s">
        <v>24</v>
      </c>
      <c r="C12">
        <v>84097623</v>
      </c>
      <c r="D12">
        <v>2111</v>
      </c>
      <c r="E12">
        <v>46</v>
      </c>
      <c r="F12">
        <v>62</v>
      </c>
      <c r="G12" s="2">
        <v>76.34</v>
      </c>
      <c r="H12">
        <v>27890</v>
      </c>
      <c r="I12">
        <v>2556</v>
      </c>
      <c r="J12" s="2">
        <v>9.16</v>
      </c>
      <c r="K12" t="s">
        <v>12</v>
      </c>
      <c r="L12" t="s">
        <v>205</v>
      </c>
      <c r="M12">
        <v>320117</v>
      </c>
      <c r="N12">
        <v>17976</v>
      </c>
      <c r="O12">
        <v>277463</v>
      </c>
      <c r="P12">
        <v>24678</v>
      </c>
      <c r="Q12">
        <v>4156</v>
      </c>
      <c r="R12">
        <v>3806</v>
      </c>
      <c r="S12">
        <v>214</v>
      </c>
      <c r="T12">
        <v>2612763</v>
      </c>
      <c r="U12">
        <v>31068</v>
      </c>
      <c r="V12" t="s">
        <v>293</v>
      </c>
    </row>
    <row r="13" spans="1:22" x14ac:dyDescent="0.25">
      <c r="A13" s="3">
        <v>43863</v>
      </c>
      <c r="B13" t="s">
        <v>25</v>
      </c>
      <c r="C13">
        <v>67922029</v>
      </c>
      <c r="D13">
        <v>4749</v>
      </c>
      <c r="E13">
        <v>103</v>
      </c>
      <c r="F13">
        <v>178</v>
      </c>
      <c r="G13" s="2">
        <v>23.82</v>
      </c>
      <c r="H13">
        <v>174</v>
      </c>
      <c r="I13">
        <v>208</v>
      </c>
      <c r="J13" s="2">
        <v>119.54</v>
      </c>
      <c r="K13" t="s">
        <v>18</v>
      </c>
      <c r="L13" t="s">
        <v>206</v>
      </c>
      <c r="M13">
        <v>308134</v>
      </c>
      <c r="N13">
        <v>46413</v>
      </c>
      <c r="O13">
        <v>0</v>
      </c>
      <c r="P13">
        <v>0</v>
      </c>
      <c r="Q13">
        <v>73</v>
      </c>
      <c r="R13">
        <v>4537</v>
      </c>
      <c r="S13">
        <v>683</v>
      </c>
      <c r="T13">
        <v>17515234</v>
      </c>
      <c r="U13">
        <v>257873</v>
      </c>
      <c r="V13" t="s">
        <v>12</v>
      </c>
    </row>
    <row r="14" spans="1:22" x14ac:dyDescent="0.25">
      <c r="A14" s="3">
        <v>43864</v>
      </c>
      <c r="B14" t="s">
        <v>26</v>
      </c>
      <c r="C14">
        <v>34865919</v>
      </c>
      <c r="D14">
        <v>3100</v>
      </c>
      <c r="E14">
        <v>64</v>
      </c>
      <c r="F14">
        <v>145</v>
      </c>
      <c r="G14" s="2">
        <v>91.46</v>
      </c>
      <c r="H14">
        <v>36936</v>
      </c>
      <c r="I14">
        <v>2546</v>
      </c>
      <c r="J14" s="2">
        <v>6.89</v>
      </c>
      <c r="K14" t="s">
        <v>10</v>
      </c>
      <c r="L14" t="s">
        <v>207</v>
      </c>
      <c r="M14">
        <v>284226</v>
      </c>
      <c r="N14">
        <v>3055</v>
      </c>
      <c r="O14">
        <v>247089</v>
      </c>
      <c r="P14">
        <v>34082</v>
      </c>
      <c r="Q14">
        <v>1915</v>
      </c>
      <c r="R14">
        <v>8152</v>
      </c>
      <c r="S14">
        <v>88</v>
      </c>
      <c r="T14">
        <v>3635705</v>
      </c>
      <c r="U14">
        <v>104277</v>
      </c>
      <c r="V14" t="s">
        <v>293</v>
      </c>
    </row>
    <row r="15" spans="1:22" x14ac:dyDescent="0.25">
      <c r="A15" s="3">
        <v>43865</v>
      </c>
      <c r="B15" t="s">
        <v>27</v>
      </c>
      <c r="C15">
        <v>221295851</v>
      </c>
      <c r="D15">
        <v>4011</v>
      </c>
      <c r="E15">
        <v>66</v>
      </c>
      <c r="F15">
        <v>217</v>
      </c>
      <c r="G15" s="2">
        <v>55.56</v>
      </c>
      <c r="H15">
        <v>207453</v>
      </c>
      <c r="I15">
        <v>18772</v>
      </c>
      <c r="J15" s="2">
        <v>9.0500000000000007</v>
      </c>
      <c r="K15" t="s">
        <v>28</v>
      </c>
      <c r="L15" t="s">
        <v>208</v>
      </c>
      <c r="M15">
        <v>281863</v>
      </c>
      <c r="N15">
        <v>6035</v>
      </c>
      <c r="O15">
        <v>256058</v>
      </c>
      <c r="P15">
        <v>19770</v>
      </c>
      <c r="Q15">
        <v>809</v>
      </c>
      <c r="R15">
        <v>1274</v>
      </c>
      <c r="S15">
        <v>27</v>
      </c>
      <c r="T15">
        <v>2058872</v>
      </c>
      <c r="U15">
        <v>9304</v>
      </c>
      <c r="V15" t="s">
        <v>293</v>
      </c>
    </row>
    <row r="16" spans="1:22" x14ac:dyDescent="0.25">
      <c r="A16" s="3">
        <v>43866</v>
      </c>
      <c r="B16" t="s">
        <v>29</v>
      </c>
      <c r="C16">
        <v>164851401</v>
      </c>
      <c r="D16">
        <v>3745</v>
      </c>
      <c r="E16">
        <v>72</v>
      </c>
      <c r="F16">
        <v>250</v>
      </c>
      <c r="G16" s="2">
        <v>85.45</v>
      </c>
      <c r="H16">
        <v>106</v>
      </c>
      <c r="I16">
        <v>4</v>
      </c>
      <c r="J16" s="2">
        <v>3.77</v>
      </c>
      <c r="K16" t="s">
        <v>18</v>
      </c>
      <c r="L16" t="s">
        <v>209</v>
      </c>
      <c r="M16">
        <v>249651</v>
      </c>
      <c r="N16">
        <v>3306</v>
      </c>
      <c r="O16">
        <v>143824</v>
      </c>
      <c r="P16">
        <v>102521</v>
      </c>
      <c r="Q16">
        <v>0</v>
      </c>
      <c r="R16">
        <v>1514</v>
      </c>
      <c r="S16">
        <v>20</v>
      </c>
      <c r="T16">
        <v>1225124</v>
      </c>
      <c r="U16">
        <v>7432</v>
      </c>
      <c r="V16" t="s">
        <v>293</v>
      </c>
    </row>
    <row r="17" spans="1:22" x14ac:dyDescent="0.25">
      <c r="A17" s="3">
        <v>43867</v>
      </c>
      <c r="B17" t="s">
        <v>30</v>
      </c>
      <c r="C17">
        <v>60452568</v>
      </c>
      <c r="D17">
        <v>3159</v>
      </c>
      <c r="E17">
        <v>70</v>
      </c>
      <c r="F17">
        <v>347</v>
      </c>
      <c r="G17" s="2">
        <v>89.95</v>
      </c>
      <c r="H17">
        <v>66213</v>
      </c>
      <c r="I17">
        <v>1038</v>
      </c>
      <c r="J17" s="2">
        <v>1.57</v>
      </c>
      <c r="K17" t="s">
        <v>12</v>
      </c>
      <c r="L17" t="s">
        <v>210</v>
      </c>
      <c r="M17">
        <v>249204</v>
      </c>
      <c r="N17">
        <v>35187</v>
      </c>
      <c r="O17">
        <v>201323</v>
      </c>
      <c r="P17">
        <v>12694</v>
      </c>
      <c r="Q17">
        <v>42</v>
      </c>
      <c r="R17">
        <v>4122</v>
      </c>
      <c r="S17">
        <v>582</v>
      </c>
      <c r="T17">
        <v>7099713</v>
      </c>
      <c r="U17">
        <v>117443</v>
      </c>
      <c r="V17" t="s">
        <v>12</v>
      </c>
    </row>
    <row r="18" spans="1:22" x14ac:dyDescent="0.25">
      <c r="A18" s="3">
        <v>43868</v>
      </c>
      <c r="B18" t="s">
        <v>297</v>
      </c>
      <c r="C18">
        <v>84428331</v>
      </c>
      <c r="D18">
        <v>3532</v>
      </c>
      <c r="E18">
        <v>85</v>
      </c>
      <c r="F18">
        <v>485</v>
      </c>
      <c r="G18" s="2">
        <v>26.27</v>
      </c>
      <c r="H18">
        <v>64094</v>
      </c>
      <c r="I18">
        <v>2334</v>
      </c>
      <c r="J18" s="2">
        <v>3.64</v>
      </c>
      <c r="K18" t="s">
        <v>12</v>
      </c>
      <c r="L18" t="s">
        <v>210</v>
      </c>
      <c r="M18">
        <v>237265</v>
      </c>
      <c r="N18">
        <v>5798</v>
      </c>
      <c r="O18">
        <v>220546</v>
      </c>
      <c r="P18">
        <v>10921</v>
      </c>
      <c r="Q18">
        <v>580</v>
      </c>
      <c r="R18">
        <v>2810</v>
      </c>
      <c r="S18">
        <v>69</v>
      </c>
      <c r="T18">
        <v>5081802</v>
      </c>
      <c r="U18">
        <v>60191</v>
      </c>
      <c r="V18" t="s">
        <v>293</v>
      </c>
    </row>
    <row r="19" spans="1:22" x14ac:dyDescent="0.25">
      <c r="A19" s="3">
        <v>43869</v>
      </c>
      <c r="B19" t="s">
        <v>32</v>
      </c>
      <c r="C19">
        <v>45236884</v>
      </c>
      <c r="D19">
        <v>2734</v>
      </c>
      <c r="E19">
        <v>87</v>
      </c>
      <c r="F19">
        <v>567</v>
      </c>
      <c r="G19" s="2">
        <v>54.17</v>
      </c>
      <c r="H19">
        <v>40</v>
      </c>
      <c r="I19">
        <v>8</v>
      </c>
      <c r="J19" s="2">
        <v>20</v>
      </c>
      <c r="K19" t="s">
        <v>18</v>
      </c>
      <c r="L19" t="s">
        <v>210</v>
      </c>
      <c r="M19">
        <v>228195</v>
      </c>
      <c r="N19">
        <v>4251</v>
      </c>
      <c r="O19">
        <v>99852</v>
      </c>
      <c r="P19">
        <v>124092</v>
      </c>
      <c r="Q19">
        <v>1150</v>
      </c>
      <c r="R19">
        <v>5044</v>
      </c>
      <c r="S19">
        <v>94</v>
      </c>
      <c r="T19">
        <v>794544</v>
      </c>
      <c r="U19">
        <v>17564</v>
      </c>
      <c r="V19" t="s">
        <v>292</v>
      </c>
    </row>
    <row r="20" spans="1:22" x14ac:dyDescent="0.25">
      <c r="A20" s="3">
        <v>43870</v>
      </c>
      <c r="B20" t="s">
        <v>33</v>
      </c>
      <c r="C20">
        <v>83811260</v>
      </c>
      <c r="D20">
        <v>3027</v>
      </c>
      <c r="E20">
        <v>100</v>
      </c>
      <c r="F20">
        <v>587</v>
      </c>
      <c r="G20" s="2">
        <v>58.53</v>
      </c>
      <c r="H20">
        <v>1602</v>
      </c>
      <c r="I20">
        <v>168</v>
      </c>
      <c r="J20" s="2">
        <v>10.49</v>
      </c>
      <c r="K20" t="s">
        <v>14</v>
      </c>
      <c r="L20" t="s">
        <v>210</v>
      </c>
      <c r="M20">
        <v>215210</v>
      </c>
      <c r="N20">
        <v>9252</v>
      </c>
      <c r="O20">
        <v>196200</v>
      </c>
      <c r="P20">
        <v>9758</v>
      </c>
      <c r="Q20">
        <v>236</v>
      </c>
      <c r="R20">
        <v>2568</v>
      </c>
      <c r="S20">
        <v>110</v>
      </c>
      <c r="T20">
        <v>8586648</v>
      </c>
      <c r="U20">
        <v>102452</v>
      </c>
      <c r="V20" t="s">
        <v>12</v>
      </c>
    </row>
    <row r="21" spans="1:22" x14ac:dyDescent="0.25">
      <c r="A21" s="3">
        <v>43871</v>
      </c>
      <c r="B21" t="s">
        <v>34</v>
      </c>
      <c r="C21">
        <v>65288306</v>
      </c>
      <c r="D21">
        <v>2538</v>
      </c>
      <c r="E21">
        <v>107</v>
      </c>
      <c r="F21">
        <v>657</v>
      </c>
      <c r="G21" s="2">
        <v>86.87</v>
      </c>
      <c r="H21">
        <v>90</v>
      </c>
      <c r="I21">
        <v>9</v>
      </c>
      <c r="J21" s="2">
        <v>10</v>
      </c>
      <c r="K21" t="s">
        <v>28</v>
      </c>
      <c r="L21" t="s">
        <v>210</v>
      </c>
      <c r="M21">
        <v>195633</v>
      </c>
      <c r="N21">
        <v>30312</v>
      </c>
      <c r="O21">
        <v>82460</v>
      </c>
      <c r="P21">
        <v>82861</v>
      </c>
      <c r="Q21">
        <v>384</v>
      </c>
      <c r="R21">
        <v>2996</v>
      </c>
      <c r="S21">
        <v>464</v>
      </c>
      <c r="T21">
        <v>3992206</v>
      </c>
      <c r="U21">
        <v>61147</v>
      </c>
      <c r="V21" t="s">
        <v>12</v>
      </c>
    </row>
    <row r="22" spans="1:22" x14ac:dyDescent="0.25">
      <c r="A22" s="3">
        <v>43872</v>
      </c>
      <c r="B22" t="s">
        <v>35</v>
      </c>
      <c r="C22">
        <v>40306025</v>
      </c>
      <c r="D22">
        <v>2042</v>
      </c>
      <c r="E22">
        <v>100</v>
      </c>
      <c r="F22">
        <v>703</v>
      </c>
      <c r="G22" s="2">
        <v>30.17</v>
      </c>
      <c r="H22">
        <v>60991</v>
      </c>
      <c r="I22">
        <v>10190</v>
      </c>
      <c r="J22" s="2">
        <v>16.71</v>
      </c>
      <c r="K22" t="s">
        <v>18</v>
      </c>
      <c r="L22" t="s">
        <v>210</v>
      </c>
      <c r="M22">
        <v>140603</v>
      </c>
      <c r="N22">
        <v>5161</v>
      </c>
      <c r="O22">
        <v>101025</v>
      </c>
      <c r="P22">
        <v>34417</v>
      </c>
      <c r="Q22">
        <v>517</v>
      </c>
      <c r="R22">
        <v>3488</v>
      </c>
      <c r="S22">
        <v>128</v>
      </c>
      <c r="T22">
        <v>1092741</v>
      </c>
      <c r="U22">
        <v>27111</v>
      </c>
      <c r="V22" t="s">
        <v>293</v>
      </c>
    </row>
    <row r="23" spans="1:22" x14ac:dyDescent="0.25">
      <c r="A23" s="3">
        <v>43873</v>
      </c>
      <c r="B23" t="s">
        <v>36</v>
      </c>
      <c r="C23">
        <v>109722719</v>
      </c>
      <c r="D23">
        <v>1886</v>
      </c>
      <c r="E23">
        <v>5</v>
      </c>
      <c r="F23">
        <v>432</v>
      </c>
      <c r="G23" s="2">
        <v>46.96</v>
      </c>
      <c r="H23">
        <v>8479</v>
      </c>
      <c r="I23">
        <v>2019</v>
      </c>
      <c r="J23" s="2">
        <v>23.81</v>
      </c>
      <c r="K23" t="s">
        <v>12</v>
      </c>
      <c r="L23" t="s">
        <v>210</v>
      </c>
      <c r="M23">
        <v>119460</v>
      </c>
      <c r="N23">
        <v>2150</v>
      </c>
      <c r="O23">
        <v>66837</v>
      </c>
      <c r="P23">
        <v>50473</v>
      </c>
      <c r="Q23">
        <v>239</v>
      </c>
      <c r="R23">
        <v>1089</v>
      </c>
      <c r="S23">
        <v>20</v>
      </c>
      <c r="T23">
        <v>1669996</v>
      </c>
      <c r="U23">
        <v>15220</v>
      </c>
      <c r="V23" t="s">
        <v>293</v>
      </c>
    </row>
    <row r="24" spans="1:22" x14ac:dyDescent="0.25">
      <c r="A24" s="3">
        <v>43874</v>
      </c>
      <c r="B24" t="s">
        <v>37</v>
      </c>
      <c r="C24">
        <v>273808365</v>
      </c>
      <c r="D24">
        <v>13645</v>
      </c>
      <c r="E24">
        <v>253</v>
      </c>
      <c r="F24">
        <v>1081</v>
      </c>
      <c r="G24" s="2">
        <v>8.5299999999999994</v>
      </c>
      <c r="H24">
        <v>522</v>
      </c>
      <c r="I24">
        <v>217</v>
      </c>
      <c r="J24" s="2">
        <v>41.57</v>
      </c>
      <c r="K24" t="s">
        <v>14</v>
      </c>
      <c r="L24" t="s">
        <v>210</v>
      </c>
      <c r="M24">
        <v>118753</v>
      </c>
      <c r="N24">
        <v>5521</v>
      </c>
      <c r="O24">
        <v>75645</v>
      </c>
      <c r="P24">
        <v>37587</v>
      </c>
      <c r="Q24">
        <v>0</v>
      </c>
      <c r="R24">
        <v>434</v>
      </c>
      <c r="S24">
        <v>20</v>
      </c>
      <c r="T24">
        <v>1633156</v>
      </c>
      <c r="U24">
        <v>5965</v>
      </c>
      <c r="V24" t="s">
        <v>293</v>
      </c>
    </row>
    <row r="25" spans="1:22" x14ac:dyDescent="0.25">
      <c r="A25" s="3">
        <v>43875</v>
      </c>
      <c r="B25" t="s">
        <v>38</v>
      </c>
      <c r="C25">
        <v>37775022</v>
      </c>
      <c r="D25">
        <v>6484</v>
      </c>
      <c r="E25">
        <v>152</v>
      </c>
      <c r="F25">
        <v>1683</v>
      </c>
      <c r="G25" s="2">
        <v>75.61</v>
      </c>
      <c r="H25">
        <v>2118646</v>
      </c>
      <c r="I25">
        <v>323729</v>
      </c>
      <c r="J25" s="2">
        <v>15.28</v>
      </c>
      <c r="K25" t="s">
        <v>18</v>
      </c>
      <c r="L25" t="s">
        <v>210</v>
      </c>
      <c r="M25">
        <v>118561</v>
      </c>
      <c r="N25">
        <v>8966</v>
      </c>
      <c r="O25">
        <v>103106</v>
      </c>
      <c r="P25">
        <v>6489</v>
      </c>
      <c r="Q25">
        <v>2263</v>
      </c>
      <c r="R25">
        <v>3139</v>
      </c>
      <c r="S25">
        <v>237</v>
      </c>
      <c r="T25">
        <v>4319172</v>
      </c>
      <c r="U25">
        <v>114339</v>
      </c>
      <c r="V25" t="s">
        <v>291</v>
      </c>
    </row>
    <row r="26" spans="1:22" x14ac:dyDescent="0.25">
      <c r="A26" s="3">
        <v>43876</v>
      </c>
      <c r="B26" t="s">
        <v>39</v>
      </c>
      <c r="C26">
        <v>2807805</v>
      </c>
      <c r="D26">
        <v>2075</v>
      </c>
      <c r="E26">
        <v>143</v>
      </c>
      <c r="F26">
        <v>1289</v>
      </c>
      <c r="G26" s="2">
        <v>97.87</v>
      </c>
      <c r="H26">
        <v>141</v>
      </c>
      <c r="I26">
        <v>0</v>
      </c>
      <c r="J26" s="2">
        <v>0</v>
      </c>
      <c r="K26" t="s">
        <v>22</v>
      </c>
      <c r="L26" t="s">
        <v>210</v>
      </c>
      <c r="M26">
        <v>112092</v>
      </c>
      <c r="N26">
        <v>178</v>
      </c>
      <c r="O26">
        <v>108831</v>
      </c>
      <c r="P26">
        <v>3083</v>
      </c>
      <c r="Q26">
        <v>77</v>
      </c>
      <c r="R26">
        <v>39922</v>
      </c>
      <c r="S26">
        <v>63</v>
      </c>
      <c r="T26">
        <v>511000</v>
      </c>
      <c r="U26">
        <v>181993</v>
      </c>
      <c r="V26" t="s">
        <v>293</v>
      </c>
    </row>
    <row r="27" spans="1:22" x14ac:dyDescent="0.25">
      <c r="A27" s="3">
        <v>43877</v>
      </c>
      <c r="B27" t="s">
        <v>40</v>
      </c>
      <c r="C27">
        <v>18798667</v>
      </c>
      <c r="D27">
        <v>2114</v>
      </c>
      <c r="E27">
        <v>104</v>
      </c>
      <c r="F27">
        <v>1417</v>
      </c>
      <c r="G27" s="2">
        <v>52.58</v>
      </c>
      <c r="H27">
        <v>8929</v>
      </c>
      <c r="I27">
        <v>1692</v>
      </c>
      <c r="J27" s="2">
        <v>18.95</v>
      </c>
      <c r="K27" t="s">
        <v>12</v>
      </c>
      <c r="L27" t="s">
        <v>210</v>
      </c>
      <c r="M27">
        <v>95942</v>
      </c>
      <c r="N27">
        <v>1058</v>
      </c>
      <c r="O27">
        <v>68871</v>
      </c>
      <c r="P27">
        <v>26013</v>
      </c>
      <c r="Q27">
        <v>221</v>
      </c>
      <c r="R27">
        <v>5104</v>
      </c>
      <c r="S27">
        <v>56</v>
      </c>
      <c r="T27">
        <v>2163713</v>
      </c>
      <c r="U27">
        <v>115099</v>
      </c>
      <c r="V27" t="s">
        <v>293</v>
      </c>
    </row>
    <row r="28" spans="1:22" x14ac:dyDescent="0.25">
      <c r="A28" s="3">
        <v>43878</v>
      </c>
      <c r="B28" t="s">
        <v>41</v>
      </c>
      <c r="C28">
        <v>102516525</v>
      </c>
      <c r="D28">
        <v>1936</v>
      </c>
      <c r="E28">
        <v>98</v>
      </c>
      <c r="F28">
        <v>1632</v>
      </c>
      <c r="G28" s="2">
        <v>84.18</v>
      </c>
      <c r="H28">
        <v>1065</v>
      </c>
      <c r="I28">
        <v>35</v>
      </c>
      <c r="J28" s="2">
        <v>3.29</v>
      </c>
      <c r="K28" t="s">
        <v>14</v>
      </c>
      <c r="L28" t="s">
        <v>210</v>
      </c>
      <c r="M28">
        <v>95006</v>
      </c>
      <c r="N28">
        <v>4951</v>
      </c>
      <c r="O28">
        <v>48898</v>
      </c>
      <c r="P28">
        <v>41157</v>
      </c>
      <c r="Q28">
        <v>41</v>
      </c>
      <c r="R28">
        <v>927</v>
      </c>
      <c r="S28">
        <v>48</v>
      </c>
      <c r="T28">
        <v>135000</v>
      </c>
      <c r="U28">
        <v>1317</v>
      </c>
      <c r="V28" t="s">
        <v>14</v>
      </c>
    </row>
    <row r="29" spans="1:22" x14ac:dyDescent="0.25">
      <c r="A29" s="3">
        <v>43879</v>
      </c>
      <c r="B29" t="s">
        <v>42</v>
      </c>
      <c r="C29">
        <v>17668824</v>
      </c>
      <c r="D29">
        <v>1794</v>
      </c>
      <c r="E29">
        <v>140</v>
      </c>
      <c r="F29">
        <v>1742</v>
      </c>
      <c r="G29" s="2">
        <v>83.43</v>
      </c>
      <c r="H29">
        <v>341</v>
      </c>
      <c r="I29">
        <v>9</v>
      </c>
      <c r="J29" s="2">
        <v>2.64</v>
      </c>
      <c r="K29" t="s">
        <v>28</v>
      </c>
      <c r="L29" t="s">
        <v>210</v>
      </c>
      <c r="M29">
        <v>90537</v>
      </c>
      <c r="N29">
        <v>5877</v>
      </c>
      <c r="O29">
        <v>71318</v>
      </c>
      <c r="P29">
        <v>13342</v>
      </c>
      <c r="Q29">
        <v>378</v>
      </c>
      <c r="R29">
        <v>5124</v>
      </c>
      <c r="S29">
        <v>333</v>
      </c>
      <c r="T29">
        <v>258582</v>
      </c>
      <c r="U29">
        <v>14635</v>
      </c>
      <c r="V29" t="s">
        <v>292</v>
      </c>
    </row>
    <row r="30" spans="1:22" x14ac:dyDescent="0.25">
      <c r="A30" s="3">
        <v>43880</v>
      </c>
      <c r="B30" t="s">
        <v>43</v>
      </c>
      <c r="C30">
        <v>11688459</v>
      </c>
      <c r="D30">
        <v>421</v>
      </c>
      <c r="E30">
        <v>115</v>
      </c>
      <c r="F30">
        <v>1701</v>
      </c>
      <c r="G30" s="2">
        <v>79.63</v>
      </c>
      <c r="H30">
        <v>322</v>
      </c>
      <c r="I30">
        <v>56</v>
      </c>
      <c r="J30" s="2">
        <v>17.39</v>
      </c>
      <c r="K30" t="s">
        <v>14</v>
      </c>
      <c r="L30" t="s">
        <v>210</v>
      </c>
      <c r="M30">
        <v>86423</v>
      </c>
      <c r="N30">
        <v>3465</v>
      </c>
      <c r="O30">
        <v>27373</v>
      </c>
      <c r="P30">
        <v>55585</v>
      </c>
      <c r="Q30">
        <v>71</v>
      </c>
      <c r="R30">
        <v>7394</v>
      </c>
      <c r="S30">
        <v>296</v>
      </c>
      <c r="T30">
        <v>183583</v>
      </c>
      <c r="U30">
        <v>15706</v>
      </c>
      <c r="V30" t="s">
        <v>292</v>
      </c>
    </row>
    <row r="31" spans="1:22" x14ac:dyDescent="0.25">
      <c r="A31" s="3">
        <v>43881</v>
      </c>
      <c r="B31" t="s">
        <v>44</v>
      </c>
      <c r="C31">
        <v>10105596</v>
      </c>
      <c r="D31">
        <v>547</v>
      </c>
      <c r="E31">
        <v>123</v>
      </c>
      <c r="F31">
        <v>1975</v>
      </c>
      <c r="G31" s="2">
        <v>66.58</v>
      </c>
      <c r="H31">
        <v>2071</v>
      </c>
      <c r="I31">
        <v>257</v>
      </c>
      <c r="J31" s="2">
        <v>12.41</v>
      </c>
      <c r="K31" t="s">
        <v>14</v>
      </c>
      <c r="L31" t="s">
        <v>210</v>
      </c>
      <c r="M31">
        <v>81967</v>
      </c>
      <c r="N31">
        <v>5766</v>
      </c>
      <c r="O31">
        <v>0</v>
      </c>
      <c r="P31">
        <v>0</v>
      </c>
      <c r="Q31">
        <v>38</v>
      </c>
      <c r="R31">
        <v>8111</v>
      </c>
      <c r="S31">
        <v>571</v>
      </c>
      <c r="T31">
        <v>863315</v>
      </c>
      <c r="U31">
        <v>85429</v>
      </c>
      <c r="V31" t="s">
        <v>12</v>
      </c>
    </row>
    <row r="32" spans="1:22" x14ac:dyDescent="0.25">
      <c r="A32" s="3">
        <v>43882</v>
      </c>
      <c r="B32" t="s">
        <v>45</v>
      </c>
      <c r="C32">
        <v>5118446</v>
      </c>
      <c r="D32">
        <v>629</v>
      </c>
      <c r="E32">
        <v>4</v>
      </c>
      <c r="F32">
        <v>597</v>
      </c>
      <c r="G32" s="2">
        <v>65.040000000000006</v>
      </c>
      <c r="H32">
        <v>171</v>
      </c>
      <c r="I32">
        <v>55</v>
      </c>
      <c r="J32" s="2">
        <v>32.159999999999997</v>
      </c>
      <c r="K32" t="s">
        <v>22</v>
      </c>
      <c r="L32" t="s">
        <v>210</v>
      </c>
      <c r="M32">
        <v>80713</v>
      </c>
      <c r="N32">
        <v>492</v>
      </c>
      <c r="O32">
        <v>70910</v>
      </c>
      <c r="P32">
        <v>9311</v>
      </c>
      <c r="Q32">
        <v>177</v>
      </c>
      <c r="R32">
        <v>15769</v>
      </c>
      <c r="S32">
        <v>96</v>
      </c>
      <c r="T32">
        <v>309212</v>
      </c>
      <c r="U32">
        <v>60411</v>
      </c>
      <c r="V32" t="s">
        <v>293</v>
      </c>
    </row>
    <row r="33" spans="1:22" x14ac:dyDescent="0.25">
      <c r="A33" s="3">
        <v>43883</v>
      </c>
      <c r="B33" t="s">
        <v>46</v>
      </c>
      <c r="C33">
        <v>9197590</v>
      </c>
      <c r="D33">
        <v>1761</v>
      </c>
      <c r="E33">
        <v>207</v>
      </c>
      <c r="F33">
        <v>3883</v>
      </c>
      <c r="G33" s="2">
        <v>84.97</v>
      </c>
      <c r="H33">
        <v>16157</v>
      </c>
      <c r="I33">
        <v>953</v>
      </c>
      <c r="J33" s="2">
        <v>5.9</v>
      </c>
      <c r="K33" t="s">
        <v>14</v>
      </c>
      <c r="L33" t="s">
        <v>210</v>
      </c>
      <c r="M33">
        <v>79559</v>
      </c>
      <c r="N33">
        <v>576</v>
      </c>
      <c r="O33">
        <v>53427</v>
      </c>
      <c r="P33">
        <v>25556</v>
      </c>
      <c r="Q33">
        <v>358</v>
      </c>
      <c r="R33">
        <v>8650</v>
      </c>
      <c r="S33">
        <v>63</v>
      </c>
      <c r="T33">
        <v>1872453</v>
      </c>
      <c r="U33">
        <v>203581</v>
      </c>
      <c r="V33" t="s">
        <v>293</v>
      </c>
    </row>
    <row r="34" spans="1:22" x14ac:dyDescent="0.25">
      <c r="A34" s="3">
        <v>43884</v>
      </c>
      <c r="B34" t="s">
        <v>47</v>
      </c>
      <c r="C34">
        <v>43705858</v>
      </c>
      <c r="D34">
        <v>323</v>
      </c>
      <c r="E34">
        <v>10</v>
      </c>
      <c r="F34">
        <v>455</v>
      </c>
      <c r="G34" s="2">
        <v>0</v>
      </c>
      <c r="H34">
        <v>112925</v>
      </c>
      <c r="I34">
        <v>3533</v>
      </c>
      <c r="J34" s="2">
        <v>3.13</v>
      </c>
      <c r="K34" t="s">
        <v>18</v>
      </c>
      <c r="L34" t="s">
        <v>210</v>
      </c>
      <c r="M34">
        <v>76808</v>
      </c>
      <c r="N34">
        <v>1819</v>
      </c>
      <c r="O34">
        <v>42524</v>
      </c>
      <c r="P34">
        <v>32465</v>
      </c>
      <c r="Q34">
        <v>158</v>
      </c>
      <c r="R34">
        <v>1757</v>
      </c>
      <c r="S34">
        <v>42</v>
      </c>
      <c r="T34">
        <v>1116641</v>
      </c>
      <c r="U34">
        <v>25549</v>
      </c>
      <c r="V34" t="s">
        <v>12</v>
      </c>
    </row>
    <row r="35" spans="1:22" x14ac:dyDescent="0.25">
      <c r="A35" s="3">
        <v>43885</v>
      </c>
      <c r="B35" t="s">
        <v>48</v>
      </c>
      <c r="C35">
        <v>10858648</v>
      </c>
      <c r="D35">
        <v>564</v>
      </c>
      <c r="E35">
        <v>160</v>
      </c>
      <c r="F35">
        <v>1743</v>
      </c>
      <c r="G35" s="2">
        <v>33.619999999999997</v>
      </c>
      <c r="H35">
        <v>4548</v>
      </c>
      <c r="I35">
        <v>51</v>
      </c>
      <c r="J35" s="2">
        <v>1.1200000000000001</v>
      </c>
      <c r="K35" t="s">
        <v>14</v>
      </c>
      <c r="L35" t="s">
        <v>210</v>
      </c>
      <c r="M35">
        <v>76536</v>
      </c>
      <c r="N35">
        <v>1246</v>
      </c>
      <c r="O35">
        <v>40539</v>
      </c>
      <c r="P35">
        <v>34751</v>
      </c>
      <c r="Q35">
        <v>317</v>
      </c>
      <c r="R35">
        <v>7048</v>
      </c>
      <c r="S35">
        <v>115</v>
      </c>
      <c r="T35">
        <v>281926</v>
      </c>
      <c r="U35">
        <v>25963</v>
      </c>
      <c r="V35" t="s">
        <v>291</v>
      </c>
    </row>
    <row r="36" spans="1:22" x14ac:dyDescent="0.25">
      <c r="A36" s="3">
        <v>43886</v>
      </c>
      <c r="B36" t="s">
        <v>49</v>
      </c>
      <c r="C36">
        <v>4321282</v>
      </c>
      <c r="D36">
        <v>853</v>
      </c>
      <c r="E36">
        <v>80</v>
      </c>
      <c r="F36">
        <v>2605</v>
      </c>
      <c r="G36" s="2">
        <v>87.85</v>
      </c>
      <c r="H36">
        <v>889</v>
      </c>
      <c r="I36">
        <v>33</v>
      </c>
      <c r="J36" s="2">
        <v>3.71</v>
      </c>
      <c r="K36" t="s">
        <v>14</v>
      </c>
      <c r="L36" t="s">
        <v>210</v>
      </c>
      <c r="M36">
        <v>71418</v>
      </c>
      <c r="N36">
        <v>1574</v>
      </c>
      <c r="O36">
        <v>45658</v>
      </c>
      <c r="P36">
        <v>24186</v>
      </c>
      <c r="Q36">
        <v>161</v>
      </c>
      <c r="R36">
        <v>16527</v>
      </c>
      <c r="S36">
        <v>364</v>
      </c>
      <c r="T36">
        <v>240995</v>
      </c>
      <c r="U36">
        <v>55769</v>
      </c>
      <c r="V36" t="s">
        <v>291</v>
      </c>
    </row>
    <row r="37" spans="1:22" x14ac:dyDescent="0.25">
      <c r="A37" s="3">
        <v>43887</v>
      </c>
      <c r="B37" t="s">
        <v>50</v>
      </c>
      <c r="C37">
        <v>11594739</v>
      </c>
      <c r="D37">
        <v>963</v>
      </c>
      <c r="E37">
        <v>60</v>
      </c>
      <c r="F37">
        <v>2425</v>
      </c>
      <c r="G37" s="2">
        <v>91.96</v>
      </c>
      <c r="H37">
        <v>333029</v>
      </c>
      <c r="I37">
        <v>14894</v>
      </c>
      <c r="J37" s="2">
        <v>4.47</v>
      </c>
      <c r="K37" t="s">
        <v>18</v>
      </c>
      <c r="L37" t="s">
        <v>211</v>
      </c>
      <c r="M37">
        <v>71158</v>
      </c>
      <c r="N37">
        <v>9859</v>
      </c>
      <c r="O37">
        <v>17661</v>
      </c>
      <c r="P37">
        <v>43638</v>
      </c>
      <c r="Q37">
        <v>61</v>
      </c>
      <c r="R37">
        <v>6137</v>
      </c>
      <c r="S37">
        <v>850</v>
      </c>
      <c r="T37">
        <v>1767120</v>
      </c>
      <c r="U37">
        <v>152407</v>
      </c>
      <c r="V37" t="s">
        <v>12</v>
      </c>
    </row>
    <row r="38" spans="1:22" x14ac:dyDescent="0.25">
      <c r="A38" s="3">
        <v>43888</v>
      </c>
      <c r="B38" t="s">
        <v>51</v>
      </c>
      <c r="C38">
        <v>4276658</v>
      </c>
      <c r="D38">
        <v>1364</v>
      </c>
      <c r="E38">
        <v>43</v>
      </c>
      <c r="F38">
        <v>2842</v>
      </c>
      <c r="G38" s="2">
        <v>90.88</v>
      </c>
      <c r="H38">
        <v>85622</v>
      </c>
      <c r="I38">
        <v>1161</v>
      </c>
      <c r="J38" s="2">
        <v>1.36</v>
      </c>
      <c r="K38" t="s">
        <v>22</v>
      </c>
      <c r="L38" t="s">
        <v>212</v>
      </c>
      <c r="M38">
        <v>70045</v>
      </c>
      <c r="N38">
        <v>469</v>
      </c>
      <c r="O38">
        <v>61610</v>
      </c>
      <c r="P38">
        <v>7966</v>
      </c>
      <c r="Q38">
        <v>127</v>
      </c>
      <c r="R38">
        <v>16378</v>
      </c>
      <c r="S38">
        <v>110</v>
      </c>
      <c r="T38">
        <v>522200</v>
      </c>
      <c r="U38">
        <v>122105</v>
      </c>
      <c r="V38" t="s">
        <v>293</v>
      </c>
    </row>
    <row r="39" spans="1:22" x14ac:dyDescent="0.25">
      <c r="A39" s="3">
        <v>43889</v>
      </c>
      <c r="B39" t="s">
        <v>52</v>
      </c>
      <c r="C39">
        <v>9449001</v>
      </c>
      <c r="D39">
        <v>1377</v>
      </c>
      <c r="E39">
        <v>57</v>
      </c>
      <c r="F39">
        <v>3387</v>
      </c>
      <c r="G39" s="2">
        <v>51.02</v>
      </c>
      <c r="H39">
        <v>204005</v>
      </c>
      <c r="I39">
        <v>53096</v>
      </c>
      <c r="J39" s="2">
        <v>26.03</v>
      </c>
      <c r="K39" t="s">
        <v>18</v>
      </c>
      <c r="L39" t="s">
        <v>213</v>
      </c>
      <c r="M39">
        <v>68503</v>
      </c>
      <c r="N39">
        <v>580</v>
      </c>
      <c r="O39">
        <v>63756</v>
      </c>
      <c r="P39">
        <v>4167</v>
      </c>
      <c r="Q39">
        <v>0</v>
      </c>
      <c r="R39">
        <v>7250</v>
      </c>
      <c r="S39">
        <v>61</v>
      </c>
      <c r="T39">
        <v>1344303</v>
      </c>
      <c r="U39">
        <v>142269</v>
      </c>
      <c r="V39" t="s">
        <v>12</v>
      </c>
    </row>
    <row r="40" spans="1:22" x14ac:dyDescent="0.25">
      <c r="A40" s="3">
        <v>43890</v>
      </c>
      <c r="B40" t="s">
        <v>53</v>
      </c>
      <c r="C40">
        <v>9902079</v>
      </c>
      <c r="D40">
        <v>1895</v>
      </c>
      <c r="E40">
        <v>69</v>
      </c>
      <c r="F40">
        <v>3008</v>
      </c>
      <c r="G40" s="2">
        <v>92.66</v>
      </c>
      <c r="H40">
        <v>334</v>
      </c>
      <c r="I40">
        <v>20</v>
      </c>
      <c r="J40" s="2">
        <v>5.99</v>
      </c>
      <c r="K40" t="s">
        <v>14</v>
      </c>
      <c r="L40" t="s">
        <v>214</v>
      </c>
      <c r="M40">
        <v>61845</v>
      </c>
      <c r="N40">
        <v>354</v>
      </c>
      <c r="O40">
        <v>55739</v>
      </c>
      <c r="P40">
        <v>5752</v>
      </c>
      <c r="Q40">
        <v>0</v>
      </c>
      <c r="R40">
        <v>6246</v>
      </c>
      <c r="S40">
        <v>36</v>
      </c>
      <c r="T40">
        <v>5262658</v>
      </c>
      <c r="U40">
        <v>531470</v>
      </c>
      <c r="V40" t="s">
        <v>293</v>
      </c>
    </row>
    <row r="41" spans="1:22" x14ac:dyDescent="0.25">
      <c r="A41" s="3">
        <v>43891</v>
      </c>
      <c r="B41" t="s">
        <v>54</v>
      </c>
      <c r="C41">
        <v>19224023</v>
      </c>
      <c r="D41">
        <v>2384</v>
      </c>
      <c r="E41">
        <v>54</v>
      </c>
      <c r="F41">
        <v>2894</v>
      </c>
      <c r="G41" s="2">
        <v>25.91</v>
      </c>
      <c r="H41">
        <v>2851</v>
      </c>
      <c r="I41">
        <v>349</v>
      </c>
      <c r="J41" s="2">
        <v>12.24</v>
      </c>
      <c r="K41" t="s">
        <v>14</v>
      </c>
      <c r="L41" t="s">
        <v>215</v>
      </c>
      <c r="M41">
        <v>57895</v>
      </c>
      <c r="N41">
        <v>2566</v>
      </c>
      <c r="O41">
        <v>28992</v>
      </c>
      <c r="P41">
        <v>26337</v>
      </c>
      <c r="Q41">
        <v>458</v>
      </c>
      <c r="R41">
        <v>3012</v>
      </c>
      <c r="S41">
        <v>133</v>
      </c>
      <c r="T41">
        <v>1319369</v>
      </c>
      <c r="U41">
        <v>68631</v>
      </c>
      <c r="V41" t="s">
        <v>12</v>
      </c>
    </row>
    <row r="42" spans="1:22" x14ac:dyDescent="0.25">
      <c r="A42" s="3">
        <v>43892</v>
      </c>
      <c r="B42" t="s">
        <v>55</v>
      </c>
      <c r="C42">
        <v>17138756</v>
      </c>
      <c r="D42">
        <v>1974</v>
      </c>
      <c r="E42">
        <v>89</v>
      </c>
      <c r="F42">
        <v>2877</v>
      </c>
      <c r="G42" s="2">
        <v>64.45</v>
      </c>
      <c r="H42">
        <v>8443</v>
      </c>
      <c r="I42">
        <v>401</v>
      </c>
      <c r="J42" s="2">
        <v>4.75</v>
      </c>
      <c r="K42" t="s">
        <v>14</v>
      </c>
      <c r="L42" t="s">
        <v>216</v>
      </c>
      <c r="M42">
        <v>56982</v>
      </c>
      <c r="N42">
        <v>6153</v>
      </c>
      <c r="O42">
        <v>0</v>
      </c>
      <c r="P42">
        <v>0</v>
      </c>
      <c r="Q42">
        <v>37</v>
      </c>
      <c r="R42">
        <v>3325</v>
      </c>
      <c r="S42">
        <v>359</v>
      </c>
      <c r="T42">
        <v>1079860</v>
      </c>
      <c r="U42">
        <v>63007</v>
      </c>
      <c r="V42" t="s">
        <v>12</v>
      </c>
    </row>
    <row r="43" spans="1:22" x14ac:dyDescent="0.25">
      <c r="A43" s="3">
        <v>43893</v>
      </c>
      <c r="B43" t="s">
        <v>56</v>
      </c>
      <c r="C43">
        <v>5854932</v>
      </c>
      <c r="D43">
        <v>2577</v>
      </c>
      <c r="E43">
        <v>75</v>
      </c>
      <c r="F43">
        <v>2596</v>
      </c>
      <c r="G43" s="2">
        <v>24.14</v>
      </c>
      <c r="H43">
        <v>11534</v>
      </c>
      <c r="I43">
        <v>4307</v>
      </c>
      <c r="J43" s="2">
        <v>37.340000000000003</v>
      </c>
      <c r="K43" t="s">
        <v>18</v>
      </c>
      <c r="L43" t="s">
        <v>217</v>
      </c>
      <c r="M43">
        <v>54555</v>
      </c>
      <c r="N43">
        <v>27</v>
      </c>
      <c r="O43">
        <v>48031</v>
      </c>
      <c r="P43">
        <v>6497</v>
      </c>
      <c r="Q43">
        <v>0</v>
      </c>
      <c r="R43">
        <v>9318</v>
      </c>
      <c r="S43">
        <v>5</v>
      </c>
      <c r="T43">
        <v>1474372</v>
      </c>
      <c r="U43">
        <v>251817</v>
      </c>
      <c r="V43" t="s">
        <v>293</v>
      </c>
    </row>
    <row r="44" spans="1:22" x14ac:dyDescent="0.25">
      <c r="A44" s="3">
        <v>43894</v>
      </c>
      <c r="B44" t="s">
        <v>57</v>
      </c>
      <c r="C44">
        <v>17946899</v>
      </c>
      <c r="D44">
        <v>2299</v>
      </c>
      <c r="E44">
        <v>95</v>
      </c>
      <c r="F44">
        <v>2938</v>
      </c>
      <c r="G44" s="2">
        <v>66.180000000000007</v>
      </c>
      <c r="H44">
        <v>14312</v>
      </c>
      <c r="I44">
        <v>1343</v>
      </c>
      <c r="J44" s="2">
        <v>9.3800000000000008</v>
      </c>
      <c r="K44" t="s">
        <v>14</v>
      </c>
      <c r="L44" t="s">
        <v>218</v>
      </c>
      <c r="M44">
        <v>54339</v>
      </c>
      <c r="N44">
        <v>2119</v>
      </c>
      <c r="O44">
        <v>42070</v>
      </c>
      <c r="P44">
        <v>10150</v>
      </c>
      <c r="Q44">
        <v>5</v>
      </c>
      <c r="R44">
        <v>3028</v>
      </c>
      <c r="S44">
        <v>118</v>
      </c>
      <c r="T44">
        <v>172712</v>
      </c>
      <c r="U44">
        <v>9624</v>
      </c>
      <c r="V44" t="s">
        <v>291</v>
      </c>
    </row>
    <row r="45" spans="1:22" x14ac:dyDescent="0.25">
      <c r="A45" s="3">
        <v>43895</v>
      </c>
      <c r="B45" t="s">
        <v>58</v>
      </c>
      <c r="C45">
        <v>10193593</v>
      </c>
      <c r="D45">
        <v>2791</v>
      </c>
      <c r="E45">
        <v>93</v>
      </c>
      <c r="F45">
        <v>2618</v>
      </c>
      <c r="G45" s="2">
        <v>80.64</v>
      </c>
      <c r="H45">
        <v>4370</v>
      </c>
      <c r="I45">
        <v>511</v>
      </c>
      <c r="J45" s="2">
        <v>11.69</v>
      </c>
      <c r="K45" t="s">
        <v>12</v>
      </c>
      <c r="L45" t="s">
        <v>219</v>
      </c>
      <c r="M45">
        <v>52061</v>
      </c>
      <c r="N45">
        <v>1743</v>
      </c>
      <c r="O45">
        <v>37840</v>
      </c>
      <c r="P45">
        <v>12478</v>
      </c>
      <c r="Q45">
        <v>42</v>
      </c>
      <c r="R45">
        <v>5107</v>
      </c>
      <c r="S45">
        <v>171</v>
      </c>
      <c r="T45">
        <v>1705474</v>
      </c>
      <c r="U45">
        <v>167308</v>
      </c>
      <c r="V45" t="s">
        <v>12</v>
      </c>
    </row>
    <row r="46" spans="1:22" x14ac:dyDescent="0.25">
      <c r="A46" s="3">
        <v>43896</v>
      </c>
      <c r="B46" t="s">
        <v>59</v>
      </c>
      <c r="C46">
        <v>37842302</v>
      </c>
      <c r="D46">
        <v>3943</v>
      </c>
      <c r="E46">
        <v>112</v>
      </c>
      <c r="F46">
        <v>2033</v>
      </c>
      <c r="G46" s="2">
        <v>92.85</v>
      </c>
      <c r="H46">
        <v>2446</v>
      </c>
      <c r="I46">
        <v>86</v>
      </c>
      <c r="J46" s="2">
        <v>3.52</v>
      </c>
      <c r="K46" t="s">
        <v>18</v>
      </c>
      <c r="L46" t="s">
        <v>220</v>
      </c>
      <c r="M46">
        <v>49515</v>
      </c>
      <c r="N46">
        <v>1774</v>
      </c>
      <c r="O46">
        <v>35642</v>
      </c>
      <c r="P46">
        <v>12099</v>
      </c>
      <c r="Q46">
        <v>72</v>
      </c>
      <c r="R46">
        <v>1308</v>
      </c>
      <c r="S46">
        <v>47</v>
      </c>
      <c r="T46">
        <v>2374686</v>
      </c>
      <c r="U46">
        <v>62752</v>
      </c>
      <c r="V46" t="s">
        <v>12</v>
      </c>
    </row>
    <row r="47" spans="1:22" x14ac:dyDescent="0.25">
      <c r="A47" s="3">
        <v>43897</v>
      </c>
      <c r="B47" t="s">
        <v>60</v>
      </c>
      <c r="C47">
        <v>206606300</v>
      </c>
      <c r="D47">
        <v>4038</v>
      </c>
      <c r="E47">
        <v>99</v>
      </c>
      <c r="F47">
        <v>2490</v>
      </c>
      <c r="G47" s="2">
        <v>80.38</v>
      </c>
      <c r="H47">
        <v>1038</v>
      </c>
      <c r="I47">
        <v>22</v>
      </c>
      <c r="J47" s="2">
        <v>2.12</v>
      </c>
      <c r="K47" t="s">
        <v>12</v>
      </c>
      <c r="L47" t="s">
        <v>220</v>
      </c>
      <c r="M47">
        <v>45244</v>
      </c>
      <c r="N47">
        <v>930</v>
      </c>
      <c r="O47">
        <v>32430</v>
      </c>
      <c r="P47">
        <v>11884</v>
      </c>
      <c r="Q47">
        <v>7</v>
      </c>
      <c r="R47">
        <v>219</v>
      </c>
      <c r="S47">
        <v>5</v>
      </c>
      <c r="T47">
        <v>306894</v>
      </c>
      <c r="U47">
        <v>1485</v>
      </c>
      <c r="V47" t="s">
        <v>14</v>
      </c>
    </row>
    <row r="48" spans="1:22" x14ac:dyDescent="0.25">
      <c r="A48" s="3">
        <v>43898</v>
      </c>
      <c r="B48" t="s">
        <v>61</v>
      </c>
      <c r="C48">
        <v>9919704</v>
      </c>
      <c r="D48">
        <v>3954</v>
      </c>
      <c r="E48">
        <v>244</v>
      </c>
      <c r="F48">
        <v>2332</v>
      </c>
      <c r="G48" s="2">
        <v>73.650000000000006</v>
      </c>
      <c r="H48">
        <v>14098</v>
      </c>
      <c r="I48">
        <v>1418</v>
      </c>
      <c r="J48" s="2">
        <v>10.06</v>
      </c>
      <c r="K48" t="s">
        <v>12</v>
      </c>
      <c r="L48" t="s">
        <v>220</v>
      </c>
      <c r="M48">
        <v>45098</v>
      </c>
      <c r="N48">
        <v>1423</v>
      </c>
      <c r="O48">
        <v>6116</v>
      </c>
      <c r="P48">
        <v>37559</v>
      </c>
      <c r="Q48">
        <v>52</v>
      </c>
      <c r="R48">
        <v>4546</v>
      </c>
      <c r="S48">
        <v>143</v>
      </c>
      <c r="T48">
        <v>109292</v>
      </c>
      <c r="U48">
        <v>11018</v>
      </c>
      <c r="V48" t="s">
        <v>291</v>
      </c>
    </row>
    <row r="49" spans="1:22" x14ac:dyDescent="0.25">
      <c r="A49" s="3">
        <v>43899</v>
      </c>
      <c r="B49" t="s">
        <v>62</v>
      </c>
      <c r="C49">
        <v>1706669</v>
      </c>
      <c r="D49">
        <v>3900</v>
      </c>
      <c r="E49">
        <v>184</v>
      </c>
      <c r="F49">
        <v>1799</v>
      </c>
      <c r="G49" s="2">
        <v>91.6</v>
      </c>
      <c r="H49">
        <v>13453</v>
      </c>
      <c r="I49">
        <v>308</v>
      </c>
      <c r="J49" s="2">
        <v>2.29</v>
      </c>
      <c r="K49" t="s">
        <v>12</v>
      </c>
      <c r="L49" t="s">
        <v>220</v>
      </c>
      <c r="M49">
        <v>42889</v>
      </c>
      <c r="N49">
        <v>156</v>
      </c>
      <c r="O49">
        <v>39945</v>
      </c>
      <c r="P49">
        <v>2788</v>
      </c>
      <c r="Q49">
        <v>41</v>
      </c>
      <c r="R49">
        <v>25130</v>
      </c>
      <c r="S49">
        <v>91</v>
      </c>
      <c r="T49">
        <v>876700</v>
      </c>
      <c r="U49">
        <v>513691</v>
      </c>
      <c r="V49" t="s">
        <v>293</v>
      </c>
    </row>
    <row r="50" spans="1:22" x14ac:dyDescent="0.25">
      <c r="A50" s="3">
        <v>43900</v>
      </c>
      <c r="B50" t="s">
        <v>63</v>
      </c>
      <c r="C50">
        <v>126435859</v>
      </c>
      <c r="D50">
        <v>5024</v>
      </c>
      <c r="E50">
        <v>279</v>
      </c>
      <c r="F50">
        <v>1911</v>
      </c>
      <c r="G50" s="2">
        <v>98.38</v>
      </c>
      <c r="H50">
        <v>5020</v>
      </c>
      <c r="I50">
        <v>39</v>
      </c>
      <c r="J50" s="2">
        <v>0.78</v>
      </c>
      <c r="K50" t="s">
        <v>10</v>
      </c>
      <c r="L50" t="s">
        <v>221</v>
      </c>
      <c r="M50">
        <v>42263</v>
      </c>
      <c r="N50">
        <v>1026</v>
      </c>
      <c r="O50">
        <v>28877</v>
      </c>
      <c r="P50">
        <v>12360</v>
      </c>
      <c r="Q50">
        <v>115</v>
      </c>
      <c r="R50">
        <v>334</v>
      </c>
      <c r="S50">
        <v>8</v>
      </c>
      <c r="T50">
        <v>938739</v>
      </c>
      <c r="U50">
        <v>7425</v>
      </c>
      <c r="V50" t="s">
        <v>293</v>
      </c>
    </row>
    <row r="51" spans="1:22" x14ac:dyDescent="0.25">
      <c r="A51" s="3">
        <v>43901</v>
      </c>
      <c r="B51" t="s">
        <v>64</v>
      </c>
      <c r="C51">
        <v>2963811</v>
      </c>
      <c r="D51">
        <v>7663</v>
      </c>
      <c r="E51">
        <v>344</v>
      </c>
      <c r="F51">
        <v>2311</v>
      </c>
      <c r="G51" s="2">
        <v>100</v>
      </c>
      <c r="H51">
        <v>18</v>
      </c>
      <c r="I51">
        <v>0</v>
      </c>
      <c r="J51" s="2">
        <v>0</v>
      </c>
      <c r="K51" t="s">
        <v>18</v>
      </c>
      <c r="L51" t="s">
        <v>222</v>
      </c>
      <c r="M51">
        <v>39819</v>
      </c>
      <c r="N51">
        <v>772</v>
      </c>
      <c r="O51">
        <v>31556</v>
      </c>
      <c r="P51">
        <v>7491</v>
      </c>
      <c r="Q51">
        <v>0</v>
      </c>
      <c r="R51">
        <v>13435</v>
      </c>
      <c r="S51">
        <v>260</v>
      </c>
      <c r="T51">
        <v>171600</v>
      </c>
      <c r="U51">
        <v>57898</v>
      </c>
      <c r="V51" t="s">
        <v>293</v>
      </c>
    </row>
    <row r="52" spans="1:22" x14ac:dyDescent="0.25">
      <c r="A52" s="3">
        <v>43902</v>
      </c>
      <c r="B52" t="s">
        <v>65</v>
      </c>
      <c r="C52">
        <v>31133483</v>
      </c>
      <c r="D52">
        <v>5750</v>
      </c>
      <c r="E52">
        <v>305</v>
      </c>
      <c r="F52">
        <v>1321</v>
      </c>
      <c r="G52" s="2">
        <v>47.08</v>
      </c>
      <c r="H52">
        <v>53956</v>
      </c>
      <c r="I52">
        <v>10200</v>
      </c>
      <c r="J52" s="2">
        <v>18.899999999999999</v>
      </c>
      <c r="K52" t="s">
        <v>18</v>
      </c>
      <c r="L52" t="s">
        <v>223</v>
      </c>
      <c r="M52">
        <v>39642</v>
      </c>
      <c r="N52">
        <v>199</v>
      </c>
      <c r="O52">
        <v>36384</v>
      </c>
      <c r="P52">
        <v>3059</v>
      </c>
      <c r="Q52">
        <v>7</v>
      </c>
      <c r="R52">
        <v>1273</v>
      </c>
      <c r="S52">
        <v>6</v>
      </c>
      <c r="T52">
        <v>405817</v>
      </c>
      <c r="U52">
        <v>13035</v>
      </c>
      <c r="V52" t="s">
        <v>14</v>
      </c>
    </row>
    <row r="53" spans="1:22" x14ac:dyDescent="0.25">
      <c r="A53" s="3">
        <v>43903</v>
      </c>
      <c r="B53" t="s">
        <v>66</v>
      </c>
      <c r="C53">
        <v>6534479</v>
      </c>
      <c r="D53">
        <v>14405</v>
      </c>
      <c r="E53">
        <v>497</v>
      </c>
      <c r="F53">
        <v>1925</v>
      </c>
      <c r="G53" s="2">
        <v>43</v>
      </c>
      <c r="H53">
        <v>74620</v>
      </c>
      <c r="I53">
        <v>6541</v>
      </c>
      <c r="J53" s="2">
        <v>8.77</v>
      </c>
      <c r="K53" t="s">
        <v>18</v>
      </c>
      <c r="L53" t="s">
        <v>224</v>
      </c>
      <c r="M53">
        <v>38659</v>
      </c>
      <c r="N53">
        <v>1447</v>
      </c>
      <c r="O53">
        <v>30099</v>
      </c>
      <c r="P53">
        <v>7113</v>
      </c>
      <c r="Q53">
        <v>24</v>
      </c>
      <c r="R53">
        <v>5916</v>
      </c>
      <c r="S53">
        <v>221</v>
      </c>
      <c r="T53">
        <v>267718</v>
      </c>
      <c r="U53">
        <v>40970</v>
      </c>
      <c r="V53" t="s">
        <v>293</v>
      </c>
    </row>
    <row r="54" spans="1:22" x14ac:dyDescent="0.25">
      <c r="A54" s="3">
        <v>43904</v>
      </c>
      <c r="B54" t="s">
        <v>67</v>
      </c>
      <c r="C54">
        <v>39009447</v>
      </c>
      <c r="D54">
        <v>11106</v>
      </c>
      <c r="E54">
        <v>417</v>
      </c>
      <c r="F54">
        <v>2370</v>
      </c>
      <c r="G54" s="2">
        <v>37.67</v>
      </c>
      <c r="H54">
        <v>88402</v>
      </c>
      <c r="I54">
        <v>4080</v>
      </c>
      <c r="J54" s="2">
        <v>4.62</v>
      </c>
      <c r="K54" t="s">
        <v>10</v>
      </c>
      <c r="L54" t="s">
        <v>225</v>
      </c>
      <c r="M54">
        <v>36896</v>
      </c>
      <c r="N54">
        <v>1298</v>
      </c>
      <c r="O54">
        <v>25840</v>
      </c>
      <c r="P54">
        <v>9758</v>
      </c>
      <c r="Q54">
        <v>31</v>
      </c>
      <c r="R54">
        <v>946</v>
      </c>
      <c r="S54">
        <v>33</v>
      </c>
      <c r="T54">
        <v>90396</v>
      </c>
      <c r="U54">
        <v>2317</v>
      </c>
      <c r="V54" t="s">
        <v>293</v>
      </c>
    </row>
    <row r="55" spans="1:22" x14ac:dyDescent="0.25">
      <c r="A55" s="3">
        <v>43905</v>
      </c>
      <c r="B55" t="s">
        <v>68</v>
      </c>
      <c r="C55">
        <v>8660952</v>
      </c>
      <c r="D55">
        <v>11146</v>
      </c>
      <c r="E55">
        <v>641</v>
      </c>
      <c r="F55">
        <v>3410</v>
      </c>
      <c r="G55" s="2">
        <v>51.73</v>
      </c>
      <c r="H55">
        <v>12207</v>
      </c>
      <c r="I55">
        <v>2828</v>
      </c>
      <c r="J55" s="2">
        <v>23.17</v>
      </c>
      <c r="K55" t="s">
        <v>18</v>
      </c>
      <c r="L55" t="s">
        <v>226</v>
      </c>
      <c r="M55">
        <v>36108</v>
      </c>
      <c r="N55">
        <v>1985</v>
      </c>
      <c r="O55">
        <v>31600</v>
      </c>
      <c r="P55">
        <v>2523</v>
      </c>
      <c r="Q55">
        <v>23</v>
      </c>
      <c r="R55">
        <v>4169</v>
      </c>
      <c r="S55">
        <v>229</v>
      </c>
      <c r="T55">
        <v>822764</v>
      </c>
      <c r="U55">
        <v>94997</v>
      </c>
      <c r="V55" t="s">
        <v>12</v>
      </c>
    </row>
    <row r="56" spans="1:22" x14ac:dyDescent="0.25">
      <c r="A56" s="3">
        <v>43906</v>
      </c>
      <c r="B56" t="s">
        <v>69</v>
      </c>
      <c r="C56">
        <v>43926079</v>
      </c>
      <c r="D56">
        <v>14659</v>
      </c>
      <c r="E56">
        <v>680</v>
      </c>
      <c r="F56">
        <v>2053</v>
      </c>
      <c r="G56" s="2">
        <v>27.42</v>
      </c>
      <c r="H56">
        <v>3071</v>
      </c>
      <c r="I56">
        <v>0</v>
      </c>
      <c r="J56" s="2">
        <v>0</v>
      </c>
      <c r="K56" t="s">
        <v>14</v>
      </c>
      <c r="L56" t="s">
        <v>227</v>
      </c>
      <c r="M56">
        <v>33626</v>
      </c>
      <c r="N56">
        <v>1273</v>
      </c>
      <c r="O56">
        <v>23238</v>
      </c>
      <c r="P56">
        <v>9115</v>
      </c>
      <c r="Q56">
        <v>57</v>
      </c>
      <c r="R56">
        <v>766</v>
      </c>
      <c r="S56">
        <v>29</v>
      </c>
      <c r="T56">
        <v>0</v>
      </c>
      <c r="U56">
        <v>0</v>
      </c>
      <c r="V56" t="s">
        <v>14</v>
      </c>
    </row>
    <row r="57" spans="1:22" x14ac:dyDescent="0.25">
      <c r="A57" s="3">
        <v>43907</v>
      </c>
      <c r="B57" t="s">
        <v>70</v>
      </c>
      <c r="C57">
        <v>10148243</v>
      </c>
      <c r="D57">
        <v>15838</v>
      </c>
      <c r="E57">
        <v>804</v>
      </c>
      <c r="F57">
        <v>2752</v>
      </c>
      <c r="G57" s="2">
        <v>72.08</v>
      </c>
      <c r="H57">
        <v>251</v>
      </c>
      <c r="I57">
        <v>14</v>
      </c>
      <c r="J57" s="2">
        <v>5.58</v>
      </c>
      <c r="K57" t="s">
        <v>14</v>
      </c>
      <c r="L57" t="s">
        <v>228</v>
      </c>
      <c r="M57">
        <v>33247</v>
      </c>
      <c r="N57">
        <v>479</v>
      </c>
      <c r="O57">
        <v>29275</v>
      </c>
      <c r="P57">
        <v>3493</v>
      </c>
      <c r="Q57">
        <v>66</v>
      </c>
      <c r="R57">
        <v>3276</v>
      </c>
      <c r="S57">
        <v>47</v>
      </c>
      <c r="T57">
        <v>766179</v>
      </c>
      <c r="U57">
        <v>75499</v>
      </c>
      <c r="V57" t="s">
        <v>293</v>
      </c>
    </row>
    <row r="58" spans="1:22" x14ac:dyDescent="0.25">
      <c r="A58" s="3">
        <v>43908</v>
      </c>
      <c r="B58" t="s">
        <v>71</v>
      </c>
      <c r="C58">
        <v>36953359</v>
      </c>
      <c r="D58">
        <v>19586</v>
      </c>
      <c r="E58">
        <v>897</v>
      </c>
      <c r="F58">
        <v>2483</v>
      </c>
      <c r="G58" s="2">
        <v>94.54</v>
      </c>
      <c r="H58">
        <v>2021</v>
      </c>
      <c r="I58">
        <v>13</v>
      </c>
      <c r="J58" s="2">
        <v>0.64</v>
      </c>
      <c r="K58" t="s">
        <v>12</v>
      </c>
      <c r="L58" t="s">
        <v>229</v>
      </c>
      <c r="M58">
        <v>29644</v>
      </c>
      <c r="N58">
        <v>449</v>
      </c>
      <c r="O58">
        <v>20553</v>
      </c>
      <c r="P58">
        <v>8642</v>
      </c>
      <c r="Q58">
        <v>31</v>
      </c>
      <c r="R58">
        <v>802</v>
      </c>
      <c r="S58">
        <v>12</v>
      </c>
      <c r="T58">
        <v>1383816</v>
      </c>
      <c r="U58">
        <v>37448</v>
      </c>
      <c r="V58" t="s">
        <v>14</v>
      </c>
    </row>
    <row r="59" spans="1:22" x14ac:dyDescent="0.25">
      <c r="A59" s="3">
        <v>43909</v>
      </c>
      <c r="B59" t="s">
        <v>72</v>
      </c>
      <c r="C59">
        <v>33516027</v>
      </c>
      <c r="D59">
        <v>27918</v>
      </c>
      <c r="E59">
        <v>1106</v>
      </c>
      <c r="F59">
        <v>1637</v>
      </c>
      <c r="G59" s="2">
        <v>44.26</v>
      </c>
      <c r="H59">
        <v>1826</v>
      </c>
      <c r="I59">
        <v>490</v>
      </c>
      <c r="J59" s="2">
        <v>26.83</v>
      </c>
      <c r="K59" t="s">
        <v>14</v>
      </c>
      <c r="L59" t="s">
        <v>230</v>
      </c>
      <c r="M59">
        <v>28315</v>
      </c>
      <c r="N59">
        <v>175</v>
      </c>
      <c r="O59">
        <v>19291</v>
      </c>
      <c r="P59">
        <v>8849</v>
      </c>
      <c r="Q59">
        <v>228</v>
      </c>
      <c r="R59">
        <v>845</v>
      </c>
      <c r="S59">
        <v>5</v>
      </c>
      <c r="T59">
        <v>1377915</v>
      </c>
      <c r="U59">
        <v>41112</v>
      </c>
      <c r="V59" t="s">
        <v>293</v>
      </c>
    </row>
    <row r="60" spans="1:22" x14ac:dyDescent="0.25">
      <c r="A60" s="3">
        <v>43910</v>
      </c>
      <c r="B60" t="s">
        <v>73</v>
      </c>
      <c r="C60">
        <v>8733665</v>
      </c>
      <c r="D60">
        <v>29608</v>
      </c>
      <c r="E60">
        <v>1478</v>
      </c>
      <c r="F60">
        <v>2445</v>
      </c>
      <c r="G60" s="2">
        <v>43.9</v>
      </c>
      <c r="H60">
        <v>10207</v>
      </c>
      <c r="I60">
        <v>4340</v>
      </c>
      <c r="J60" s="2">
        <v>42.52</v>
      </c>
      <c r="K60" t="s">
        <v>14</v>
      </c>
      <c r="L60" t="s">
        <v>231</v>
      </c>
      <c r="M60">
        <v>27332</v>
      </c>
      <c r="N60">
        <v>621</v>
      </c>
      <c r="O60">
        <v>14047</v>
      </c>
      <c r="P60">
        <v>12664</v>
      </c>
      <c r="Q60">
        <v>120</v>
      </c>
      <c r="R60">
        <v>3129</v>
      </c>
      <c r="S60">
        <v>71</v>
      </c>
      <c r="T60">
        <v>723137</v>
      </c>
      <c r="U60">
        <v>82799</v>
      </c>
      <c r="V60" t="s">
        <v>12</v>
      </c>
    </row>
    <row r="61" spans="1:22" x14ac:dyDescent="0.25">
      <c r="A61" s="3">
        <v>43911</v>
      </c>
      <c r="B61" t="s">
        <v>74</v>
      </c>
      <c r="C61">
        <v>4032983</v>
      </c>
      <c r="D61">
        <v>32306</v>
      </c>
      <c r="E61">
        <v>1705</v>
      </c>
      <c r="F61">
        <v>4266</v>
      </c>
      <c r="G61" s="2">
        <v>66.67</v>
      </c>
      <c r="H61">
        <v>27</v>
      </c>
      <c r="I61">
        <v>0</v>
      </c>
      <c r="J61" s="2">
        <v>0</v>
      </c>
      <c r="K61" t="s">
        <v>22</v>
      </c>
      <c r="L61" t="s">
        <v>232</v>
      </c>
      <c r="M61">
        <v>26628</v>
      </c>
      <c r="N61">
        <v>828</v>
      </c>
      <c r="O61">
        <v>18676</v>
      </c>
      <c r="P61">
        <v>7124</v>
      </c>
      <c r="Q61">
        <v>362</v>
      </c>
      <c r="R61">
        <v>6603</v>
      </c>
      <c r="S61">
        <v>205</v>
      </c>
      <c r="T61">
        <v>128076</v>
      </c>
      <c r="U61">
        <v>31757</v>
      </c>
      <c r="V61" t="s">
        <v>12</v>
      </c>
    </row>
    <row r="62" spans="1:22" x14ac:dyDescent="0.25">
      <c r="A62" s="3">
        <v>43912</v>
      </c>
      <c r="B62" t="s">
        <v>75</v>
      </c>
      <c r="C62">
        <v>4943200</v>
      </c>
      <c r="D62">
        <v>33410</v>
      </c>
      <c r="E62">
        <v>1697</v>
      </c>
      <c r="F62">
        <v>6215</v>
      </c>
      <c r="G62" s="2">
        <v>93.54</v>
      </c>
      <c r="H62">
        <v>7340</v>
      </c>
      <c r="I62">
        <v>58</v>
      </c>
      <c r="J62" s="2">
        <v>0.79</v>
      </c>
      <c r="K62" t="s">
        <v>12</v>
      </c>
      <c r="L62" t="s">
        <v>233</v>
      </c>
      <c r="M62">
        <v>26372</v>
      </c>
      <c r="N62">
        <v>1768</v>
      </c>
      <c r="O62">
        <v>23364</v>
      </c>
      <c r="P62">
        <v>1240</v>
      </c>
      <c r="Q62">
        <v>5</v>
      </c>
      <c r="R62">
        <v>5335</v>
      </c>
      <c r="S62">
        <v>358</v>
      </c>
      <c r="T62">
        <v>652917</v>
      </c>
      <c r="U62">
        <v>132084</v>
      </c>
      <c r="V62" t="s">
        <v>12</v>
      </c>
    </row>
    <row r="63" spans="1:22" x14ac:dyDescent="0.25">
      <c r="A63" s="3">
        <v>43913</v>
      </c>
      <c r="B63" t="s">
        <v>76</v>
      </c>
      <c r="C63">
        <v>53881160</v>
      </c>
      <c r="D63">
        <v>42165</v>
      </c>
      <c r="E63">
        <v>1917</v>
      </c>
      <c r="F63">
        <v>466</v>
      </c>
      <c r="G63" s="2">
        <v>36.86</v>
      </c>
      <c r="H63">
        <v>214023</v>
      </c>
      <c r="I63">
        <v>6329</v>
      </c>
      <c r="J63" s="2">
        <v>2.96</v>
      </c>
      <c r="K63" t="s">
        <v>12</v>
      </c>
      <c r="L63" t="s">
        <v>234</v>
      </c>
      <c r="M63">
        <v>24411</v>
      </c>
      <c r="N63">
        <v>399</v>
      </c>
      <c r="O63">
        <v>10444</v>
      </c>
      <c r="P63">
        <v>13568</v>
      </c>
      <c r="Q63">
        <v>44</v>
      </c>
      <c r="R63">
        <v>453</v>
      </c>
      <c r="S63">
        <v>7</v>
      </c>
      <c r="T63">
        <v>335318</v>
      </c>
      <c r="U63">
        <v>6223</v>
      </c>
      <c r="V63" t="s">
        <v>14</v>
      </c>
    </row>
    <row r="64" spans="1:22" x14ac:dyDescent="0.25">
      <c r="A64" s="3">
        <v>43914</v>
      </c>
      <c r="B64" t="s">
        <v>77</v>
      </c>
      <c r="C64">
        <v>28427499</v>
      </c>
      <c r="D64">
        <v>41154</v>
      </c>
      <c r="E64">
        <v>2268</v>
      </c>
      <c r="F64">
        <v>9541</v>
      </c>
      <c r="G64" s="2">
        <v>65.13</v>
      </c>
      <c r="H64">
        <v>6433</v>
      </c>
      <c r="I64">
        <v>756</v>
      </c>
      <c r="J64" s="2">
        <v>11.75</v>
      </c>
      <c r="K64" t="s">
        <v>14</v>
      </c>
      <c r="L64" t="s">
        <v>235</v>
      </c>
      <c r="M64">
        <v>22299</v>
      </c>
      <c r="N64">
        <v>195</v>
      </c>
      <c r="O64">
        <v>12146</v>
      </c>
      <c r="P64">
        <v>9958</v>
      </c>
      <c r="Q64">
        <v>42</v>
      </c>
      <c r="R64">
        <v>784</v>
      </c>
      <c r="S64">
        <v>7</v>
      </c>
      <c r="T64">
        <v>1567431</v>
      </c>
      <c r="U64">
        <v>55138</v>
      </c>
      <c r="V64" t="s">
        <v>292</v>
      </c>
    </row>
    <row r="65" spans="1:22" x14ac:dyDescent="0.25">
      <c r="A65" s="3">
        <v>43915</v>
      </c>
      <c r="B65" t="s">
        <v>78</v>
      </c>
      <c r="C65">
        <v>29186486</v>
      </c>
      <c r="D65">
        <v>50817</v>
      </c>
      <c r="E65">
        <v>2777</v>
      </c>
      <c r="F65">
        <v>5448</v>
      </c>
      <c r="G65" s="2">
        <v>20.25</v>
      </c>
      <c r="H65">
        <v>112</v>
      </c>
      <c r="I65">
        <v>214</v>
      </c>
      <c r="J65" s="2">
        <v>191.07</v>
      </c>
      <c r="K65" t="s">
        <v>14</v>
      </c>
      <c r="L65" t="s">
        <v>236</v>
      </c>
      <c r="M65">
        <v>21750</v>
      </c>
      <c r="N65">
        <v>65</v>
      </c>
      <c r="O65">
        <v>15389</v>
      </c>
      <c r="P65">
        <v>6296</v>
      </c>
      <c r="Q65">
        <v>0</v>
      </c>
      <c r="R65">
        <v>745</v>
      </c>
      <c r="S65">
        <v>2</v>
      </c>
      <c r="T65">
        <v>731977</v>
      </c>
      <c r="U65">
        <v>25079</v>
      </c>
      <c r="V65" t="s">
        <v>293</v>
      </c>
    </row>
    <row r="66" spans="1:22" x14ac:dyDescent="0.25">
      <c r="A66" s="3">
        <v>43916</v>
      </c>
      <c r="B66" t="s">
        <v>79</v>
      </c>
      <c r="C66">
        <v>9011577</v>
      </c>
      <c r="D66">
        <v>62960</v>
      </c>
      <c r="E66">
        <v>3007</v>
      </c>
      <c r="F66">
        <v>8359</v>
      </c>
      <c r="G66" s="2">
        <v>81.09</v>
      </c>
      <c r="H66">
        <v>1039</v>
      </c>
      <c r="I66">
        <v>98</v>
      </c>
      <c r="J66" s="2">
        <v>9.43</v>
      </c>
      <c r="K66" t="s">
        <v>12</v>
      </c>
      <c r="L66" t="s">
        <v>237</v>
      </c>
      <c r="M66">
        <v>21696</v>
      </c>
      <c r="N66">
        <v>719</v>
      </c>
      <c r="O66">
        <v>19596</v>
      </c>
      <c r="P66">
        <v>1381</v>
      </c>
      <c r="Q66">
        <v>25</v>
      </c>
      <c r="R66">
        <v>2408</v>
      </c>
      <c r="S66">
        <v>80</v>
      </c>
      <c r="T66">
        <v>937275</v>
      </c>
      <c r="U66">
        <v>104008</v>
      </c>
      <c r="V66" t="s">
        <v>12</v>
      </c>
    </row>
    <row r="67" spans="1:22" x14ac:dyDescent="0.25">
      <c r="A67" s="3">
        <v>43917</v>
      </c>
      <c r="B67" t="s">
        <v>80</v>
      </c>
      <c r="C67">
        <v>5098730</v>
      </c>
      <c r="D67">
        <v>64400</v>
      </c>
      <c r="E67">
        <v>3518</v>
      </c>
      <c r="F67">
        <v>8704</v>
      </c>
      <c r="G67" s="2">
        <v>91.89</v>
      </c>
      <c r="H67">
        <v>203325</v>
      </c>
      <c r="I67">
        <v>3787</v>
      </c>
      <c r="J67" s="2">
        <v>1.86</v>
      </c>
      <c r="K67" t="s">
        <v>12</v>
      </c>
      <c r="L67" t="s">
        <v>238</v>
      </c>
      <c r="M67">
        <v>21070</v>
      </c>
      <c r="N67">
        <v>200</v>
      </c>
      <c r="O67">
        <v>7038</v>
      </c>
      <c r="P67">
        <v>13832</v>
      </c>
      <c r="Q67">
        <v>103</v>
      </c>
      <c r="R67">
        <v>4132</v>
      </c>
      <c r="S67">
        <v>39</v>
      </c>
      <c r="T67">
        <v>96110</v>
      </c>
      <c r="U67">
        <v>18850</v>
      </c>
      <c r="V67" t="s">
        <v>291</v>
      </c>
    </row>
    <row r="68" spans="1:22" x14ac:dyDescent="0.25">
      <c r="A68" s="3">
        <v>43918</v>
      </c>
      <c r="B68" t="s">
        <v>81</v>
      </c>
      <c r="C68">
        <v>115223736</v>
      </c>
      <c r="D68">
        <v>67657</v>
      </c>
      <c r="E68">
        <v>3679</v>
      </c>
      <c r="F68">
        <v>8292</v>
      </c>
      <c r="G68" s="2">
        <v>88.63</v>
      </c>
      <c r="H68">
        <v>28430</v>
      </c>
      <c r="I68">
        <v>5194</v>
      </c>
      <c r="J68" s="2">
        <v>18.27</v>
      </c>
      <c r="K68" t="s">
        <v>14</v>
      </c>
      <c r="L68" t="s">
        <v>239</v>
      </c>
      <c r="M68">
        <v>20900</v>
      </c>
      <c r="N68">
        <v>365</v>
      </c>
      <c r="O68">
        <v>9027</v>
      </c>
      <c r="P68">
        <v>11508</v>
      </c>
      <c r="Q68">
        <v>185</v>
      </c>
      <c r="R68">
        <v>181</v>
      </c>
      <c r="S68">
        <v>3</v>
      </c>
      <c r="T68">
        <v>468814</v>
      </c>
      <c r="U68">
        <v>4069</v>
      </c>
      <c r="V68" t="s">
        <v>14</v>
      </c>
    </row>
    <row r="69" spans="1:22" x14ac:dyDescent="0.25">
      <c r="A69" s="3">
        <v>43919</v>
      </c>
      <c r="B69" t="s">
        <v>82</v>
      </c>
      <c r="C69">
        <v>25528864</v>
      </c>
      <c r="D69">
        <v>59577</v>
      </c>
      <c r="E69">
        <v>3473</v>
      </c>
      <c r="F69">
        <v>9461</v>
      </c>
      <c r="G69" s="2">
        <v>32.51</v>
      </c>
      <c r="H69">
        <v>4012</v>
      </c>
      <c r="I69">
        <v>215</v>
      </c>
      <c r="J69" s="2">
        <v>5.36</v>
      </c>
      <c r="K69" t="s">
        <v>12</v>
      </c>
      <c r="L69" t="s">
        <v>240</v>
      </c>
      <c r="M69">
        <v>19890</v>
      </c>
      <c r="N69">
        <v>255</v>
      </c>
      <c r="O69">
        <v>10941</v>
      </c>
      <c r="P69">
        <v>8694</v>
      </c>
      <c r="Q69">
        <v>52</v>
      </c>
      <c r="R69">
        <v>779</v>
      </c>
      <c r="S69">
        <v>10</v>
      </c>
      <c r="T69">
        <v>4631419</v>
      </c>
      <c r="U69">
        <v>181419</v>
      </c>
      <c r="V69" t="s">
        <v>294</v>
      </c>
    </row>
    <row r="70" spans="1:22" x14ac:dyDescent="0.25">
      <c r="A70" s="3">
        <v>43920</v>
      </c>
      <c r="B70" t="s">
        <v>83</v>
      </c>
      <c r="C70">
        <v>6489514</v>
      </c>
      <c r="D70">
        <v>64639</v>
      </c>
      <c r="E70">
        <v>4164</v>
      </c>
      <c r="F70">
        <v>15446</v>
      </c>
      <c r="G70" s="2">
        <v>92.86</v>
      </c>
      <c r="H70">
        <v>13</v>
      </c>
      <c r="I70">
        <v>1</v>
      </c>
      <c r="J70" s="2">
        <v>7.69</v>
      </c>
      <c r="K70" t="s">
        <v>12</v>
      </c>
      <c r="L70" t="s">
        <v>241</v>
      </c>
      <c r="M70">
        <v>19126</v>
      </c>
      <c r="N70">
        <v>513</v>
      </c>
      <c r="O70">
        <v>9236</v>
      </c>
      <c r="P70">
        <v>9377</v>
      </c>
      <c r="Q70">
        <v>509</v>
      </c>
      <c r="R70">
        <v>2947</v>
      </c>
      <c r="S70">
        <v>79</v>
      </c>
      <c r="T70">
        <v>251271</v>
      </c>
      <c r="U70">
        <v>38720</v>
      </c>
      <c r="V70" t="s">
        <v>291</v>
      </c>
    </row>
    <row r="71" spans="1:22" x14ac:dyDescent="0.25">
      <c r="A71" s="3">
        <v>43921</v>
      </c>
      <c r="B71" t="s">
        <v>84</v>
      </c>
      <c r="C71">
        <v>10711019</v>
      </c>
      <c r="D71">
        <v>76416</v>
      </c>
      <c r="E71">
        <v>4844</v>
      </c>
      <c r="F71">
        <v>12367</v>
      </c>
      <c r="G71" s="2">
        <v>100</v>
      </c>
      <c r="H71">
        <v>23</v>
      </c>
      <c r="I71">
        <v>0</v>
      </c>
      <c r="J71" s="2">
        <v>0</v>
      </c>
      <c r="K71" t="s">
        <v>18</v>
      </c>
      <c r="L71" t="s">
        <v>242</v>
      </c>
      <c r="M71">
        <v>17731</v>
      </c>
      <c r="N71">
        <v>390</v>
      </c>
      <c r="O71">
        <v>12320</v>
      </c>
      <c r="P71">
        <v>5021</v>
      </c>
      <c r="Q71">
        <v>17</v>
      </c>
      <c r="R71">
        <v>1655</v>
      </c>
      <c r="S71">
        <v>36</v>
      </c>
      <c r="T71">
        <v>728670</v>
      </c>
      <c r="U71">
        <v>68030</v>
      </c>
      <c r="V71" t="s">
        <v>12</v>
      </c>
    </row>
    <row r="72" spans="1:22" x14ac:dyDescent="0.25">
      <c r="A72" s="3">
        <v>43922</v>
      </c>
      <c r="B72" t="s">
        <v>85</v>
      </c>
      <c r="C72">
        <v>26606188</v>
      </c>
      <c r="D72">
        <v>76214</v>
      </c>
      <c r="E72">
        <v>5551</v>
      </c>
      <c r="F72">
        <v>15360</v>
      </c>
      <c r="G72" s="2">
        <v>71.63</v>
      </c>
      <c r="H72">
        <v>39039</v>
      </c>
      <c r="I72">
        <v>6270</v>
      </c>
      <c r="J72" s="2">
        <v>16.059999999999999</v>
      </c>
      <c r="K72" t="s">
        <v>18</v>
      </c>
      <c r="L72" t="s">
        <v>243</v>
      </c>
      <c r="M72">
        <v>17718</v>
      </c>
      <c r="N72">
        <v>391</v>
      </c>
      <c r="O72">
        <v>15320</v>
      </c>
      <c r="P72">
        <v>2007</v>
      </c>
      <c r="Q72">
        <v>30</v>
      </c>
      <c r="R72">
        <v>666</v>
      </c>
      <c r="S72">
        <v>15</v>
      </c>
      <c r="T72">
        <v>149000</v>
      </c>
      <c r="U72">
        <v>5600</v>
      </c>
      <c r="V72" t="s">
        <v>14</v>
      </c>
    </row>
    <row r="73" spans="1:22" x14ac:dyDescent="0.25">
      <c r="A73" s="3">
        <v>43923</v>
      </c>
      <c r="B73" t="s">
        <v>86</v>
      </c>
      <c r="C73">
        <v>26437950</v>
      </c>
      <c r="D73">
        <v>81399</v>
      </c>
      <c r="E73">
        <v>6305</v>
      </c>
      <c r="F73">
        <v>16618</v>
      </c>
      <c r="G73" s="2">
        <v>88.69</v>
      </c>
      <c r="H73">
        <v>6590</v>
      </c>
      <c r="I73">
        <v>465</v>
      </c>
      <c r="J73" s="2">
        <v>7.06</v>
      </c>
      <c r="K73" t="s">
        <v>14</v>
      </c>
      <c r="L73" t="s">
        <v>244</v>
      </c>
      <c r="M73">
        <v>16447</v>
      </c>
      <c r="N73">
        <v>103</v>
      </c>
      <c r="O73">
        <v>12484</v>
      </c>
      <c r="P73">
        <v>3860</v>
      </c>
      <c r="Q73">
        <v>0</v>
      </c>
      <c r="R73">
        <v>622</v>
      </c>
      <c r="S73">
        <v>4</v>
      </c>
      <c r="T73">
        <v>104584</v>
      </c>
      <c r="U73">
        <v>3956</v>
      </c>
      <c r="V73" t="s">
        <v>14</v>
      </c>
    </row>
    <row r="74" spans="1:22" x14ac:dyDescent="0.25">
      <c r="A74" s="3">
        <v>43924</v>
      </c>
      <c r="B74" t="s">
        <v>87</v>
      </c>
      <c r="C74">
        <v>51273732</v>
      </c>
      <c r="D74">
        <v>83155</v>
      </c>
      <c r="E74">
        <v>5985</v>
      </c>
      <c r="F74">
        <v>15008</v>
      </c>
      <c r="G74" s="2">
        <v>41.1</v>
      </c>
      <c r="H74">
        <v>1949</v>
      </c>
      <c r="I74">
        <v>5</v>
      </c>
      <c r="J74" s="2">
        <v>0.26</v>
      </c>
      <c r="K74" t="s">
        <v>14</v>
      </c>
      <c r="L74" t="s">
        <v>245</v>
      </c>
      <c r="M74">
        <v>14519</v>
      </c>
      <c r="N74">
        <v>303</v>
      </c>
      <c r="O74">
        <v>13543</v>
      </c>
      <c r="P74">
        <v>673</v>
      </c>
      <c r="Q74">
        <v>18</v>
      </c>
      <c r="R74">
        <v>283</v>
      </c>
      <c r="S74">
        <v>6</v>
      </c>
      <c r="T74">
        <v>1613652</v>
      </c>
      <c r="U74">
        <v>31471</v>
      </c>
      <c r="V74" t="s">
        <v>293</v>
      </c>
    </row>
    <row r="75" spans="1:22" x14ac:dyDescent="0.25">
      <c r="A75" s="3">
        <v>43925</v>
      </c>
      <c r="B75" t="s">
        <v>88</v>
      </c>
      <c r="C75">
        <v>5794279</v>
      </c>
      <c r="D75">
        <v>80463</v>
      </c>
      <c r="E75">
        <v>5841</v>
      </c>
      <c r="F75">
        <v>20012</v>
      </c>
      <c r="G75" s="2">
        <v>46.53</v>
      </c>
      <c r="H75">
        <v>337</v>
      </c>
      <c r="I75">
        <v>52</v>
      </c>
      <c r="J75" s="2">
        <v>15.43</v>
      </c>
      <c r="K75" t="s">
        <v>18</v>
      </c>
      <c r="L75" t="s">
        <v>246</v>
      </c>
      <c r="M75">
        <v>14306</v>
      </c>
      <c r="N75">
        <v>617</v>
      </c>
      <c r="O75">
        <v>12787</v>
      </c>
      <c r="P75">
        <v>902</v>
      </c>
      <c r="Q75">
        <v>2</v>
      </c>
      <c r="R75">
        <v>2469</v>
      </c>
      <c r="S75">
        <v>106</v>
      </c>
      <c r="T75">
        <v>1654512</v>
      </c>
      <c r="U75">
        <v>285542</v>
      </c>
      <c r="V75" t="s">
        <v>12</v>
      </c>
    </row>
    <row r="76" spans="1:22" x14ac:dyDescent="0.25">
      <c r="A76" s="3">
        <v>43926</v>
      </c>
      <c r="B76" t="s">
        <v>89</v>
      </c>
      <c r="C76">
        <v>5112340</v>
      </c>
      <c r="D76">
        <v>71718</v>
      </c>
      <c r="E76">
        <v>5021</v>
      </c>
      <c r="F76">
        <v>13405</v>
      </c>
      <c r="G76" s="2">
        <v>59.47</v>
      </c>
      <c r="H76">
        <v>7053</v>
      </c>
      <c r="I76">
        <v>287</v>
      </c>
      <c r="J76" s="2">
        <v>4.07</v>
      </c>
      <c r="K76" t="s">
        <v>18</v>
      </c>
      <c r="L76" t="s">
        <v>247</v>
      </c>
      <c r="M76">
        <v>13398</v>
      </c>
      <c r="N76">
        <v>92</v>
      </c>
      <c r="O76">
        <v>6907</v>
      </c>
      <c r="P76">
        <v>6399</v>
      </c>
      <c r="Q76">
        <v>0</v>
      </c>
      <c r="R76">
        <v>2621</v>
      </c>
      <c r="S76">
        <v>18</v>
      </c>
      <c r="T76">
        <v>200280</v>
      </c>
      <c r="U76">
        <v>39176</v>
      </c>
      <c r="V76" t="s">
        <v>293</v>
      </c>
    </row>
    <row r="77" spans="1:22" x14ac:dyDescent="0.25">
      <c r="A77" s="3">
        <v>43927</v>
      </c>
      <c r="B77" t="s">
        <v>90</v>
      </c>
      <c r="C77">
        <v>3278650</v>
      </c>
      <c r="D77">
        <v>72672</v>
      </c>
      <c r="E77">
        <v>5832</v>
      </c>
      <c r="F77">
        <v>16335</v>
      </c>
      <c r="G77" s="2">
        <v>100</v>
      </c>
      <c r="H77">
        <v>12</v>
      </c>
      <c r="I77">
        <v>0</v>
      </c>
      <c r="J77" s="2">
        <v>0</v>
      </c>
      <c r="K77" t="s">
        <v>12</v>
      </c>
      <c r="L77" t="s">
        <v>248</v>
      </c>
      <c r="M77">
        <v>13396</v>
      </c>
      <c r="N77">
        <v>384</v>
      </c>
      <c r="O77">
        <v>7042</v>
      </c>
      <c r="P77">
        <v>5970</v>
      </c>
      <c r="Q77">
        <v>0</v>
      </c>
      <c r="R77">
        <v>4086</v>
      </c>
      <c r="S77">
        <v>117</v>
      </c>
      <c r="T77">
        <v>147021</v>
      </c>
      <c r="U77">
        <v>44842</v>
      </c>
      <c r="V77" t="s">
        <v>12</v>
      </c>
    </row>
    <row r="78" spans="1:22" x14ac:dyDescent="0.25">
      <c r="A78" s="3">
        <v>43928</v>
      </c>
      <c r="B78" t="s">
        <v>91</v>
      </c>
      <c r="C78">
        <v>6942854</v>
      </c>
      <c r="D78">
        <v>76873</v>
      </c>
      <c r="E78">
        <v>7902</v>
      </c>
      <c r="F78">
        <v>22853</v>
      </c>
      <c r="G78" s="2">
        <v>12.68</v>
      </c>
      <c r="H78">
        <v>34611</v>
      </c>
      <c r="I78">
        <v>5130</v>
      </c>
      <c r="J78" s="2">
        <v>14.82</v>
      </c>
      <c r="K78" t="s">
        <v>18</v>
      </c>
      <c r="L78" t="s">
        <v>249</v>
      </c>
      <c r="M78">
        <v>13014</v>
      </c>
      <c r="N78">
        <v>435</v>
      </c>
      <c r="O78">
        <v>7374</v>
      </c>
      <c r="P78">
        <v>5205</v>
      </c>
      <c r="Q78">
        <v>47</v>
      </c>
      <c r="R78">
        <v>1874</v>
      </c>
      <c r="S78">
        <v>63</v>
      </c>
      <c r="T78">
        <v>294087</v>
      </c>
      <c r="U78">
        <v>42358</v>
      </c>
      <c r="V78" t="s">
        <v>12</v>
      </c>
    </row>
    <row r="79" spans="1:22" x14ac:dyDescent="0.25">
      <c r="A79" s="3">
        <v>43929</v>
      </c>
      <c r="B79" t="s">
        <v>92</v>
      </c>
      <c r="C79">
        <v>27755708</v>
      </c>
      <c r="D79">
        <v>83775</v>
      </c>
      <c r="E79">
        <v>6735</v>
      </c>
      <c r="F79">
        <v>28352</v>
      </c>
      <c r="G79" s="2">
        <v>74.84</v>
      </c>
      <c r="H79">
        <v>4339</v>
      </c>
      <c r="I79">
        <v>109</v>
      </c>
      <c r="J79" s="2">
        <v>2.5099999999999998</v>
      </c>
      <c r="K79" t="s">
        <v>12</v>
      </c>
      <c r="L79" t="s">
        <v>250</v>
      </c>
      <c r="M79">
        <v>12526</v>
      </c>
      <c r="N79">
        <v>134</v>
      </c>
      <c r="O79">
        <v>10148</v>
      </c>
      <c r="P79">
        <v>2244</v>
      </c>
      <c r="Q79">
        <v>88</v>
      </c>
      <c r="R79">
        <v>451</v>
      </c>
      <c r="S79">
        <v>5</v>
      </c>
      <c r="T79">
        <v>46301</v>
      </c>
      <c r="U79">
        <v>1668</v>
      </c>
      <c r="V79" t="s">
        <v>14</v>
      </c>
    </row>
    <row r="80" spans="1:22" x14ac:dyDescent="0.25">
      <c r="A80" s="3">
        <v>43930</v>
      </c>
      <c r="B80" t="s">
        <v>93</v>
      </c>
      <c r="C80">
        <v>43943536</v>
      </c>
      <c r="D80">
        <v>86625</v>
      </c>
      <c r="E80">
        <v>7629</v>
      </c>
      <c r="F80">
        <v>24332</v>
      </c>
      <c r="G80" s="2">
        <v>98.33</v>
      </c>
      <c r="H80">
        <v>1839</v>
      </c>
      <c r="I80">
        <v>15</v>
      </c>
      <c r="J80" s="2">
        <v>0.82</v>
      </c>
      <c r="K80" t="s">
        <v>12</v>
      </c>
      <c r="L80" t="s">
        <v>251</v>
      </c>
      <c r="M80">
        <v>11780</v>
      </c>
      <c r="N80">
        <v>763</v>
      </c>
      <c r="O80">
        <v>6194</v>
      </c>
      <c r="P80">
        <v>4823</v>
      </c>
      <c r="Q80">
        <v>0</v>
      </c>
      <c r="R80">
        <v>268</v>
      </c>
      <c r="S80">
        <v>17</v>
      </c>
      <c r="T80">
        <v>401</v>
      </c>
      <c r="U80">
        <v>9</v>
      </c>
      <c r="V80" t="s">
        <v>14</v>
      </c>
    </row>
    <row r="81" spans="1:22" x14ac:dyDescent="0.25">
      <c r="A81" s="3">
        <v>43931</v>
      </c>
      <c r="B81" t="s">
        <v>94</v>
      </c>
      <c r="C81">
        <v>2083365</v>
      </c>
      <c r="D81">
        <v>87658</v>
      </c>
      <c r="E81">
        <v>7272</v>
      </c>
      <c r="F81">
        <v>21128</v>
      </c>
      <c r="G81" s="2">
        <v>64.260000000000005</v>
      </c>
      <c r="H81">
        <v>1155338</v>
      </c>
      <c r="I81">
        <v>324735</v>
      </c>
      <c r="J81" s="2">
        <v>28.11</v>
      </c>
      <c r="K81" t="s">
        <v>28</v>
      </c>
      <c r="L81" t="s">
        <v>252</v>
      </c>
      <c r="M81">
        <v>11399</v>
      </c>
      <c r="N81">
        <v>517</v>
      </c>
      <c r="O81">
        <v>7480</v>
      </c>
      <c r="P81">
        <v>3402</v>
      </c>
      <c r="Q81">
        <v>3</v>
      </c>
      <c r="R81">
        <v>5471</v>
      </c>
      <c r="S81">
        <v>248</v>
      </c>
      <c r="T81">
        <v>109946</v>
      </c>
      <c r="U81">
        <v>52773</v>
      </c>
      <c r="V81" t="s">
        <v>12</v>
      </c>
    </row>
    <row r="82" spans="1:22" x14ac:dyDescent="0.25">
      <c r="A82" s="3">
        <v>43932</v>
      </c>
      <c r="B82" t="s">
        <v>95</v>
      </c>
      <c r="C82">
        <v>16783877</v>
      </c>
      <c r="D82">
        <v>76965</v>
      </c>
      <c r="E82">
        <v>6069</v>
      </c>
      <c r="F82">
        <v>25514</v>
      </c>
      <c r="G82" s="2">
        <v>58</v>
      </c>
      <c r="H82">
        <v>88214</v>
      </c>
      <c r="I82">
        <v>12089</v>
      </c>
      <c r="J82" s="2">
        <v>13.7</v>
      </c>
      <c r="K82" t="s">
        <v>28</v>
      </c>
      <c r="L82" t="s">
        <v>253</v>
      </c>
      <c r="M82">
        <v>10715</v>
      </c>
      <c r="N82">
        <v>223</v>
      </c>
      <c r="O82">
        <v>7101</v>
      </c>
      <c r="P82">
        <v>3391</v>
      </c>
      <c r="Q82">
        <v>33</v>
      </c>
      <c r="R82">
        <v>638</v>
      </c>
      <c r="S82">
        <v>13</v>
      </c>
      <c r="T82">
        <v>114761</v>
      </c>
      <c r="U82">
        <v>6838</v>
      </c>
      <c r="V82" t="s">
        <v>14</v>
      </c>
    </row>
    <row r="83" spans="1:22" x14ac:dyDescent="0.25">
      <c r="A83" s="3">
        <v>43933</v>
      </c>
      <c r="B83" t="s">
        <v>96</v>
      </c>
      <c r="C83">
        <v>5425471</v>
      </c>
      <c r="D83">
        <v>96802</v>
      </c>
      <c r="E83">
        <v>5731</v>
      </c>
      <c r="F83">
        <v>18873</v>
      </c>
      <c r="G83" s="2">
        <v>86.9</v>
      </c>
      <c r="H83">
        <v>276202</v>
      </c>
      <c r="I83">
        <v>17404</v>
      </c>
      <c r="J83" s="2">
        <v>6.3</v>
      </c>
      <c r="K83" t="s">
        <v>10</v>
      </c>
      <c r="L83" t="s">
        <v>253</v>
      </c>
      <c r="M83">
        <v>9468</v>
      </c>
      <c r="N83">
        <v>256</v>
      </c>
      <c r="O83">
        <v>8857</v>
      </c>
      <c r="P83">
        <v>355</v>
      </c>
      <c r="Q83">
        <v>3</v>
      </c>
      <c r="R83">
        <v>1745</v>
      </c>
      <c r="S83">
        <v>47</v>
      </c>
      <c r="T83">
        <v>472841</v>
      </c>
      <c r="U83">
        <v>87152</v>
      </c>
      <c r="V83" t="s">
        <v>12</v>
      </c>
    </row>
    <row r="84" spans="1:22" x14ac:dyDescent="0.25">
      <c r="A84" s="3">
        <v>43934</v>
      </c>
      <c r="B84" t="s">
        <v>97</v>
      </c>
      <c r="C84">
        <v>89802183</v>
      </c>
      <c r="D84">
        <v>69594</v>
      </c>
      <c r="E84">
        <v>5747</v>
      </c>
      <c r="F84">
        <v>26531</v>
      </c>
      <c r="G84" s="2">
        <v>68.52</v>
      </c>
      <c r="H84">
        <v>94693</v>
      </c>
      <c r="I84">
        <v>17892</v>
      </c>
      <c r="J84" s="2">
        <v>18.89</v>
      </c>
      <c r="K84" t="s">
        <v>10</v>
      </c>
      <c r="L84" t="s">
        <v>253</v>
      </c>
      <c r="M84">
        <v>9309</v>
      </c>
      <c r="N84">
        <v>215</v>
      </c>
      <c r="O84">
        <v>8048</v>
      </c>
      <c r="P84">
        <v>1046</v>
      </c>
      <c r="Q84">
        <v>0</v>
      </c>
      <c r="R84">
        <v>104</v>
      </c>
      <c r="S84">
        <v>2</v>
      </c>
      <c r="T84">
        <v>0</v>
      </c>
      <c r="U84">
        <v>0</v>
      </c>
      <c r="V84" t="s">
        <v>14</v>
      </c>
    </row>
    <row r="85" spans="1:22" x14ac:dyDescent="0.25">
      <c r="A85" s="3">
        <v>43935</v>
      </c>
      <c r="B85" t="s">
        <v>98</v>
      </c>
      <c r="C85">
        <v>32406372</v>
      </c>
      <c r="D85">
        <v>69927</v>
      </c>
      <c r="E85">
        <v>6898</v>
      </c>
      <c r="F85">
        <v>24619</v>
      </c>
      <c r="G85" s="2">
        <v>90.24</v>
      </c>
      <c r="H85">
        <v>25766</v>
      </c>
      <c r="I85">
        <v>126</v>
      </c>
      <c r="J85" s="2">
        <v>0.49</v>
      </c>
      <c r="K85" t="s">
        <v>12</v>
      </c>
      <c r="L85" t="s">
        <v>253</v>
      </c>
      <c r="M85">
        <v>9038</v>
      </c>
      <c r="N85">
        <v>125</v>
      </c>
      <c r="O85">
        <v>8713</v>
      </c>
      <c r="P85">
        <v>200</v>
      </c>
      <c r="Q85">
        <v>2</v>
      </c>
      <c r="R85">
        <v>279</v>
      </c>
      <c r="S85">
        <v>4</v>
      </c>
      <c r="T85">
        <v>991333</v>
      </c>
      <c r="U85">
        <v>30591</v>
      </c>
      <c r="V85" t="s">
        <v>293</v>
      </c>
    </row>
    <row r="86" spans="1:22" x14ac:dyDescent="0.25">
      <c r="A86" s="3">
        <v>43936</v>
      </c>
      <c r="B86" t="s">
        <v>99</v>
      </c>
      <c r="C86">
        <v>299385</v>
      </c>
      <c r="D86">
        <v>80829</v>
      </c>
      <c r="E86">
        <v>8312</v>
      </c>
      <c r="F86">
        <v>35911</v>
      </c>
      <c r="G86" s="2">
        <v>42.41</v>
      </c>
      <c r="H86">
        <v>52003</v>
      </c>
      <c r="I86">
        <v>11982</v>
      </c>
      <c r="J86" s="2">
        <v>23.04</v>
      </c>
      <c r="K86" t="s">
        <v>12</v>
      </c>
      <c r="L86" t="s">
        <v>253</v>
      </c>
      <c r="M86">
        <v>8127</v>
      </c>
      <c r="N86">
        <v>47</v>
      </c>
      <c r="O86">
        <v>7240</v>
      </c>
      <c r="P86">
        <v>840</v>
      </c>
      <c r="Q86">
        <v>23</v>
      </c>
      <c r="R86">
        <v>27146</v>
      </c>
      <c r="S86">
        <v>157</v>
      </c>
      <c r="T86">
        <v>41412</v>
      </c>
      <c r="U86">
        <v>138324</v>
      </c>
      <c r="V86" t="s">
        <v>292</v>
      </c>
    </row>
    <row r="87" spans="1:22" x14ac:dyDescent="0.25">
      <c r="A87" s="3">
        <v>43937</v>
      </c>
      <c r="B87" t="s">
        <v>100</v>
      </c>
      <c r="C87">
        <v>2230563</v>
      </c>
      <c r="D87">
        <v>96712</v>
      </c>
      <c r="E87">
        <v>7283</v>
      </c>
      <c r="F87">
        <v>30090</v>
      </c>
      <c r="G87" s="2">
        <v>80.64</v>
      </c>
      <c r="H87">
        <v>244624</v>
      </c>
      <c r="I87">
        <v>1662</v>
      </c>
      <c r="J87" s="2">
        <v>0.68</v>
      </c>
      <c r="K87" t="s">
        <v>12</v>
      </c>
      <c r="L87" t="s">
        <v>253</v>
      </c>
      <c r="M87">
        <v>7787</v>
      </c>
      <c r="N87">
        <v>51</v>
      </c>
      <c r="O87">
        <v>5609</v>
      </c>
      <c r="P87">
        <v>2127</v>
      </c>
      <c r="Q87">
        <v>11</v>
      </c>
      <c r="R87">
        <v>3491</v>
      </c>
      <c r="S87">
        <v>23</v>
      </c>
      <c r="T87">
        <v>85369</v>
      </c>
      <c r="U87">
        <v>38272</v>
      </c>
      <c r="V87" t="s">
        <v>14</v>
      </c>
    </row>
    <row r="88" spans="1:22" x14ac:dyDescent="0.25">
      <c r="A88" s="3">
        <v>43938</v>
      </c>
      <c r="B88" t="s">
        <v>101</v>
      </c>
      <c r="C88">
        <v>9557468</v>
      </c>
      <c r="D88">
        <v>87724</v>
      </c>
      <c r="E88">
        <v>8890</v>
      </c>
      <c r="F88">
        <v>25272</v>
      </c>
      <c r="G88" s="2">
        <v>83.7</v>
      </c>
      <c r="H88">
        <v>809</v>
      </c>
      <c r="I88">
        <v>44</v>
      </c>
      <c r="J88" s="2">
        <v>5.44</v>
      </c>
      <c r="K88" t="s">
        <v>18</v>
      </c>
      <c r="L88" t="s">
        <v>253</v>
      </c>
      <c r="M88">
        <v>7665</v>
      </c>
      <c r="N88">
        <v>62</v>
      </c>
      <c r="O88">
        <v>6443</v>
      </c>
      <c r="P88">
        <v>1160</v>
      </c>
      <c r="Q88">
        <v>0</v>
      </c>
      <c r="R88">
        <v>802</v>
      </c>
      <c r="S88">
        <v>6</v>
      </c>
      <c r="T88">
        <v>0</v>
      </c>
      <c r="U88">
        <v>0</v>
      </c>
      <c r="V88" t="s">
        <v>293</v>
      </c>
    </row>
    <row r="89" spans="1:22" x14ac:dyDescent="0.25">
      <c r="A89" s="3">
        <v>43939</v>
      </c>
      <c r="B89" t="s">
        <v>102</v>
      </c>
      <c r="C89">
        <v>13164905</v>
      </c>
      <c r="D89">
        <v>73958</v>
      </c>
      <c r="E89">
        <v>6471</v>
      </c>
      <c r="F89">
        <v>23502</v>
      </c>
      <c r="G89" s="2">
        <v>70.55</v>
      </c>
      <c r="H89">
        <v>25706</v>
      </c>
      <c r="I89">
        <v>5436</v>
      </c>
      <c r="J89" s="2">
        <v>21.15</v>
      </c>
      <c r="K89" t="s">
        <v>22</v>
      </c>
      <c r="L89" t="s">
        <v>253</v>
      </c>
      <c r="M89">
        <v>7664</v>
      </c>
      <c r="N89">
        <v>49</v>
      </c>
      <c r="O89">
        <v>6757</v>
      </c>
      <c r="P89">
        <v>858</v>
      </c>
      <c r="Q89">
        <v>24</v>
      </c>
      <c r="R89">
        <v>582</v>
      </c>
      <c r="S89">
        <v>4</v>
      </c>
      <c r="T89">
        <v>14407</v>
      </c>
      <c r="U89">
        <v>1094</v>
      </c>
      <c r="V89" t="s">
        <v>14</v>
      </c>
    </row>
    <row r="90" spans="1:22" x14ac:dyDescent="0.25">
      <c r="A90" s="3">
        <v>43940</v>
      </c>
      <c r="B90" t="s">
        <v>103</v>
      </c>
      <c r="C90">
        <v>11416103</v>
      </c>
      <c r="D90">
        <v>80523</v>
      </c>
      <c r="E90">
        <v>4570</v>
      </c>
      <c r="F90">
        <v>30768</v>
      </c>
      <c r="G90" s="2">
        <v>88.52</v>
      </c>
      <c r="H90">
        <v>1223</v>
      </c>
      <c r="I90">
        <v>0</v>
      </c>
      <c r="J90">
        <v>0</v>
      </c>
      <c r="K90" t="s">
        <v>10</v>
      </c>
      <c r="L90" t="s">
        <v>253</v>
      </c>
      <c r="M90">
        <v>7544</v>
      </c>
      <c r="N90">
        <v>171</v>
      </c>
      <c r="O90">
        <v>4832</v>
      </c>
      <c r="P90">
        <v>2541</v>
      </c>
      <c r="Q90">
        <v>0</v>
      </c>
      <c r="R90">
        <v>661</v>
      </c>
      <c r="S90">
        <v>15</v>
      </c>
      <c r="T90">
        <v>18443</v>
      </c>
      <c r="U90">
        <v>1616</v>
      </c>
      <c r="V90" t="s">
        <v>291</v>
      </c>
    </row>
    <row r="91" spans="1:22" x14ac:dyDescent="0.25">
      <c r="A91" s="3">
        <v>43941</v>
      </c>
      <c r="B91" t="s">
        <v>104</v>
      </c>
      <c r="C91">
        <v>5541604</v>
      </c>
      <c r="D91">
        <v>73339</v>
      </c>
      <c r="E91">
        <v>5443</v>
      </c>
      <c r="F91">
        <v>21305</v>
      </c>
      <c r="G91" s="2">
        <v>64.27</v>
      </c>
      <c r="H91">
        <v>73468</v>
      </c>
      <c r="I91">
        <v>11180</v>
      </c>
      <c r="J91">
        <v>15.22</v>
      </c>
      <c r="K91" t="s">
        <v>12</v>
      </c>
      <c r="L91" t="s">
        <v>253</v>
      </c>
      <c r="M91">
        <v>7532</v>
      </c>
      <c r="N91">
        <v>331</v>
      </c>
      <c r="O91">
        <v>6980</v>
      </c>
      <c r="P91">
        <v>221</v>
      </c>
      <c r="Q91">
        <v>0</v>
      </c>
      <c r="R91">
        <v>1359</v>
      </c>
      <c r="S91">
        <v>60</v>
      </c>
      <c r="T91">
        <v>389500</v>
      </c>
      <c r="U91">
        <v>70287</v>
      </c>
      <c r="V91" t="s">
        <v>12</v>
      </c>
    </row>
    <row r="92" spans="1:22" x14ac:dyDescent="0.25">
      <c r="A92" s="3">
        <v>43942</v>
      </c>
      <c r="B92" t="s">
        <v>105</v>
      </c>
      <c r="C92">
        <v>18430129</v>
      </c>
      <c r="D92">
        <v>75250</v>
      </c>
      <c r="E92">
        <v>7157</v>
      </c>
      <c r="F92">
        <v>34181</v>
      </c>
      <c r="G92" s="2">
        <v>43.58</v>
      </c>
      <c r="H92">
        <v>13771</v>
      </c>
      <c r="I92">
        <v>4204</v>
      </c>
      <c r="J92">
        <v>30.53</v>
      </c>
      <c r="K92" t="s">
        <v>14</v>
      </c>
      <c r="L92" t="s">
        <v>254</v>
      </c>
      <c r="M92">
        <v>7164</v>
      </c>
      <c r="N92">
        <v>199</v>
      </c>
      <c r="O92">
        <v>5786</v>
      </c>
      <c r="P92">
        <v>1179</v>
      </c>
      <c r="Q92">
        <v>0</v>
      </c>
      <c r="R92">
        <v>389</v>
      </c>
      <c r="S92">
        <v>11</v>
      </c>
      <c r="T92">
        <v>90307</v>
      </c>
      <c r="U92">
        <v>4900</v>
      </c>
      <c r="V92" t="s">
        <v>14</v>
      </c>
    </row>
    <row r="93" spans="1:22" x14ac:dyDescent="0.25">
      <c r="A93" s="3">
        <v>43943</v>
      </c>
      <c r="B93" t="s">
        <v>106</v>
      </c>
      <c r="C93">
        <v>626952</v>
      </c>
      <c r="D93">
        <v>78994</v>
      </c>
      <c r="E93">
        <v>6755</v>
      </c>
      <c r="F93">
        <v>29164</v>
      </c>
      <c r="G93" s="2">
        <v>54.32</v>
      </c>
      <c r="H93">
        <v>5877</v>
      </c>
      <c r="I93">
        <v>1536</v>
      </c>
      <c r="J93">
        <v>26.14</v>
      </c>
      <c r="K93" t="s">
        <v>12</v>
      </c>
      <c r="L93" t="s">
        <v>83</v>
      </c>
      <c r="M93">
        <v>7073</v>
      </c>
      <c r="N93">
        <v>119</v>
      </c>
      <c r="O93">
        <v>5750</v>
      </c>
      <c r="P93">
        <v>1204</v>
      </c>
      <c r="Q93">
        <v>9</v>
      </c>
      <c r="R93">
        <v>11282</v>
      </c>
      <c r="S93">
        <v>190</v>
      </c>
      <c r="T93">
        <v>623994</v>
      </c>
      <c r="U93">
        <v>995282</v>
      </c>
      <c r="V93" t="s">
        <v>12</v>
      </c>
    </row>
    <row r="94" spans="1:22" x14ac:dyDescent="0.25">
      <c r="A94" s="3">
        <v>43944</v>
      </c>
      <c r="B94" t="s">
        <v>107</v>
      </c>
      <c r="C94">
        <v>4660728</v>
      </c>
      <c r="D94">
        <v>89013</v>
      </c>
      <c r="E94">
        <v>6850</v>
      </c>
      <c r="F94">
        <v>28482</v>
      </c>
      <c r="G94" s="2">
        <v>85.52</v>
      </c>
      <c r="H94">
        <v>59763</v>
      </c>
      <c r="I94">
        <v>4616</v>
      </c>
      <c r="J94">
        <v>7.72</v>
      </c>
      <c r="K94" t="s">
        <v>10</v>
      </c>
      <c r="L94" t="s">
        <v>83</v>
      </c>
      <c r="M94">
        <v>6444</v>
      </c>
      <c r="N94">
        <v>157</v>
      </c>
      <c r="O94">
        <v>5291</v>
      </c>
      <c r="P94">
        <v>996</v>
      </c>
      <c r="Q94">
        <v>3</v>
      </c>
      <c r="R94">
        <v>1383</v>
      </c>
      <c r="S94">
        <v>34</v>
      </c>
      <c r="T94">
        <v>57387</v>
      </c>
      <c r="U94">
        <v>12313</v>
      </c>
      <c r="V94" t="s">
        <v>14</v>
      </c>
    </row>
    <row r="95" spans="1:22" x14ac:dyDescent="0.25">
      <c r="A95" s="3">
        <v>43945</v>
      </c>
      <c r="B95" t="s">
        <v>108</v>
      </c>
      <c r="C95">
        <v>7141091</v>
      </c>
      <c r="D95">
        <v>96974</v>
      </c>
      <c r="E95">
        <v>6674</v>
      </c>
      <c r="F95">
        <v>49640</v>
      </c>
      <c r="G95" s="2">
        <v>63.69</v>
      </c>
      <c r="H95">
        <v>27143</v>
      </c>
      <c r="I95">
        <v>6153</v>
      </c>
      <c r="J95">
        <v>22.67</v>
      </c>
      <c r="K95" t="s">
        <v>12</v>
      </c>
      <c r="L95" t="s">
        <v>83</v>
      </c>
      <c r="M95">
        <v>6375</v>
      </c>
      <c r="N95">
        <v>66</v>
      </c>
      <c r="O95">
        <v>4974</v>
      </c>
      <c r="P95">
        <v>1335</v>
      </c>
      <c r="Q95">
        <v>23</v>
      </c>
      <c r="R95">
        <v>893</v>
      </c>
      <c r="S95">
        <v>9</v>
      </c>
      <c r="T95">
        <v>135277</v>
      </c>
      <c r="U95">
        <v>18943</v>
      </c>
      <c r="V95" t="s">
        <v>292</v>
      </c>
    </row>
    <row r="96" spans="1:22" x14ac:dyDescent="0.25">
      <c r="A96" s="3">
        <v>43946</v>
      </c>
      <c r="B96" t="s">
        <v>109</v>
      </c>
      <c r="C96">
        <v>2877470</v>
      </c>
      <c r="D96">
        <v>84932</v>
      </c>
      <c r="E96">
        <v>5578</v>
      </c>
      <c r="F96">
        <v>26910</v>
      </c>
      <c r="G96" s="2">
        <v>95</v>
      </c>
      <c r="H96">
        <v>19</v>
      </c>
      <c r="I96">
        <v>1</v>
      </c>
      <c r="J96">
        <v>5.26</v>
      </c>
      <c r="K96" t="s">
        <v>22</v>
      </c>
      <c r="L96" t="s">
        <v>83</v>
      </c>
      <c r="M96">
        <v>6016</v>
      </c>
      <c r="N96">
        <v>188</v>
      </c>
      <c r="O96">
        <v>3155</v>
      </c>
      <c r="P96">
        <v>2673</v>
      </c>
      <c r="Q96">
        <v>23</v>
      </c>
      <c r="R96">
        <v>2091</v>
      </c>
      <c r="S96">
        <v>65</v>
      </c>
      <c r="T96">
        <v>38997</v>
      </c>
      <c r="U96">
        <v>13553</v>
      </c>
      <c r="V96" t="s">
        <v>12</v>
      </c>
    </row>
    <row r="97" spans="1:22" x14ac:dyDescent="0.25">
      <c r="A97" s="3">
        <v>43947</v>
      </c>
      <c r="B97" t="s">
        <v>110</v>
      </c>
      <c r="C97">
        <v>6822220</v>
      </c>
      <c r="D97">
        <v>72948</v>
      </c>
      <c r="E97">
        <v>3883</v>
      </c>
      <c r="F97">
        <v>27730</v>
      </c>
      <c r="G97" s="2">
        <v>85.73</v>
      </c>
      <c r="H97">
        <v>1192</v>
      </c>
      <c r="I97">
        <v>27</v>
      </c>
      <c r="J97">
        <v>2.27</v>
      </c>
      <c r="K97" t="s">
        <v>12</v>
      </c>
      <c r="L97" t="s">
        <v>83</v>
      </c>
      <c r="M97">
        <v>5672</v>
      </c>
      <c r="N97">
        <v>70</v>
      </c>
      <c r="O97">
        <v>1974</v>
      </c>
      <c r="P97">
        <v>3628</v>
      </c>
      <c r="Q97">
        <v>46</v>
      </c>
      <c r="R97">
        <v>831</v>
      </c>
      <c r="S97">
        <v>10</v>
      </c>
      <c r="T97">
        <v>345268</v>
      </c>
      <c r="U97">
        <v>50609</v>
      </c>
      <c r="V97" t="s">
        <v>293</v>
      </c>
    </row>
    <row r="98" spans="1:22" x14ac:dyDescent="0.25">
      <c r="A98" s="3">
        <v>43948</v>
      </c>
      <c r="B98" t="s">
        <v>111</v>
      </c>
      <c r="C98">
        <v>4102577</v>
      </c>
      <c r="D98">
        <v>68704</v>
      </c>
      <c r="E98">
        <v>4649</v>
      </c>
      <c r="F98">
        <v>26413</v>
      </c>
      <c r="G98" s="2">
        <v>44.02</v>
      </c>
      <c r="H98">
        <v>2905</v>
      </c>
      <c r="I98">
        <v>977</v>
      </c>
      <c r="J98">
        <v>33.630000000000003</v>
      </c>
      <c r="K98" t="s">
        <v>10</v>
      </c>
      <c r="L98" t="s">
        <v>83</v>
      </c>
      <c r="M98">
        <v>5404</v>
      </c>
      <c r="N98">
        <v>155</v>
      </c>
      <c r="O98">
        <v>4688</v>
      </c>
      <c r="P98">
        <v>561</v>
      </c>
      <c r="Q98">
        <v>7</v>
      </c>
      <c r="R98">
        <v>1317</v>
      </c>
      <c r="S98">
        <v>38</v>
      </c>
      <c r="T98">
        <v>125317</v>
      </c>
      <c r="U98">
        <v>30546</v>
      </c>
      <c r="V98" t="s">
        <v>12</v>
      </c>
    </row>
    <row r="99" spans="1:22" x14ac:dyDescent="0.25">
      <c r="A99" s="3">
        <v>43949</v>
      </c>
      <c r="B99" t="s">
        <v>112</v>
      </c>
      <c r="C99">
        <v>989387</v>
      </c>
      <c r="D99">
        <v>75404</v>
      </c>
      <c r="E99">
        <v>6463</v>
      </c>
      <c r="F99">
        <v>32298</v>
      </c>
      <c r="G99" s="2">
        <v>25.35</v>
      </c>
      <c r="H99">
        <v>359</v>
      </c>
      <c r="I99">
        <v>146</v>
      </c>
      <c r="J99">
        <v>40.67</v>
      </c>
      <c r="K99" t="s">
        <v>14</v>
      </c>
      <c r="L99" t="s">
        <v>83</v>
      </c>
      <c r="M99">
        <v>5330</v>
      </c>
      <c r="N99">
        <v>59</v>
      </c>
      <c r="O99">
        <v>5057</v>
      </c>
      <c r="P99">
        <v>214</v>
      </c>
      <c r="Q99">
        <v>0</v>
      </c>
      <c r="R99">
        <v>5387</v>
      </c>
      <c r="S99">
        <v>60</v>
      </c>
      <c r="T99">
        <v>59909</v>
      </c>
      <c r="U99">
        <v>60552</v>
      </c>
      <c r="V99" t="s">
        <v>14</v>
      </c>
    </row>
    <row r="100" spans="1:22" x14ac:dyDescent="0.25">
      <c r="A100" s="3">
        <v>43950</v>
      </c>
      <c r="B100" t="s">
        <v>113</v>
      </c>
      <c r="C100">
        <v>10417673</v>
      </c>
      <c r="D100">
        <v>79558</v>
      </c>
      <c r="E100">
        <v>6768</v>
      </c>
      <c r="F100">
        <v>41072</v>
      </c>
      <c r="G100" s="2">
        <v>55.36</v>
      </c>
      <c r="H100">
        <v>1107</v>
      </c>
      <c r="I100">
        <v>60</v>
      </c>
      <c r="J100">
        <v>5.42</v>
      </c>
      <c r="K100" t="s">
        <v>14</v>
      </c>
      <c r="L100" t="s">
        <v>83</v>
      </c>
      <c r="M100">
        <v>5123</v>
      </c>
      <c r="N100">
        <v>210</v>
      </c>
      <c r="O100">
        <v>1374</v>
      </c>
      <c r="P100">
        <v>3539</v>
      </c>
      <c r="Q100">
        <v>14</v>
      </c>
      <c r="R100">
        <v>492</v>
      </c>
      <c r="S100">
        <v>20</v>
      </c>
      <c r="T100">
        <v>619393</v>
      </c>
      <c r="U100">
        <v>59456</v>
      </c>
      <c r="V100" t="s">
        <v>12</v>
      </c>
    </row>
    <row r="101" spans="1:22" x14ac:dyDescent="0.25">
      <c r="A101" s="3">
        <v>43951</v>
      </c>
      <c r="B101" t="s">
        <v>114</v>
      </c>
      <c r="C101">
        <v>6880353</v>
      </c>
      <c r="D101">
        <v>83681</v>
      </c>
      <c r="E101">
        <v>5962</v>
      </c>
      <c r="F101">
        <v>63864</v>
      </c>
      <c r="G101" s="2">
        <v>20.41</v>
      </c>
      <c r="H101">
        <v>1980</v>
      </c>
      <c r="I101">
        <v>847</v>
      </c>
      <c r="J101">
        <v>42.78</v>
      </c>
      <c r="K101" t="s">
        <v>10</v>
      </c>
      <c r="L101" t="s">
        <v>83</v>
      </c>
      <c r="M101">
        <v>4879</v>
      </c>
      <c r="N101">
        <v>107</v>
      </c>
      <c r="O101">
        <v>652</v>
      </c>
      <c r="P101">
        <v>4120</v>
      </c>
      <c r="Q101">
        <v>0</v>
      </c>
      <c r="R101">
        <v>709</v>
      </c>
      <c r="S101">
        <v>16</v>
      </c>
      <c r="T101">
        <v>59699</v>
      </c>
      <c r="U101">
        <v>8677</v>
      </c>
      <c r="V101" t="s">
        <v>14</v>
      </c>
    </row>
    <row r="102" spans="1:22" x14ac:dyDescent="0.25">
      <c r="A102" s="3">
        <v>43952</v>
      </c>
      <c r="B102" t="s">
        <v>115</v>
      </c>
      <c r="C102">
        <v>1407001</v>
      </c>
      <c r="D102">
        <v>87046</v>
      </c>
      <c r="E102">
        <v>5177</v>
      </c>
      <c r="F102">
        <v>36885</v>
      </c>
      <c r="G102" s="2">
        <v>94.19</v>
      </c>
      <c r="H102">
        <v>86</v>
      </c>
      <c r="I102">
        <v>0</v>
      </c>
      <c r="J102">
        <v>0</v>
      </c>
      <c r="K102" t="s">
        <v>12</v>
      </c>
      <c r="L102" t="s">
        <v>83</v>
      </c>
      <c r="M102">
        <v>4821</v>
      </c>
      <c r="N102">
        <v>83</v>
      </c>
      <c r="O102">
        <v>2182</v>
      </c>
      <c r="P102">
        <v>2556</v>
      </c>
      <c r="Q102">
        <v>0</v>
      </c>
      <c r="R102">
        <v>3426</v>
      </c>
      <c r="S102">
        <v>59</v>
      </c>
      <c r="T102">
        <v>44356</v>
      </c>
      <c r="U102">
        <v>31525</v>
      </c>
      <c r="V102" t="s">
        <v>14</v>
      </c>
    </row>
    <row r="103" spans="1:22" x14ac:dyDescent="0.25">
      <c r="A103" s="3">
        <v>43953</v>
      </c>
      <c r="B103" t="s">
        <v>116</v>
      </c>
      <c r="C103">
        <v>541448</v>
      </c>
      <c r="D103">
        <v>81853</v>
      </c>
      <c r="E103">
        <v>5325</v>
      </c>
      <c r="F103">
        <v>39861</v>
      </c>
      <c r="G103" s="2">
        <v>80.239999999999995</v>
      </c>
      <c r="H103">
        <v>1947</v>
      </c>
      <c r="I103">
        <v>72</v>
      </c>
      <c r="J103">
        <v>3.7</v>
      </c>
      <c r="K103" t="s">
        <v>12</v>
      </c>
      <c r="L103" t="s">
        <v>83</v>
      </c>
      <c r="M103">
        <v>4680</v>
      </c>
      <c r="N103">
        <v>19</v>
      </c>
      <c r="O103">
        <v>2725</v>
      </c>
      <c r="P103">
        <v>1936</v>
      </c>
      <c r="Q103">
        <v>12</v>
      </c>
      <c r="R103">
        <v>8643</v>
      </c>
      <c r="S103">
        <v>35</v>
      </c>
      <c r="T103">
        <v>85587</v>
      </c>
      <c r="U103">
        <v>158071</v>
      </c>
      <c r="V103" t="s">
        <v>293</v>
      </c>
    </row>
    <row r="104" spans="1:22" x14ac:dyDescent="0.25">
      <c r="A104" s="3">
        <v>43954</v>
      </c>
      <c r="B104" t="s">
        <v>117</v>
      </c>
      <c r="C104">
        <v>4837752</v>
      </c>
      <c r="D104">
        <v>77636</v>
      </c>
      <c r="E104">
        <v>3453</v>
      </c>
      <c r="F104">
        <v>31215</v>
      </c>
      <c r="G104" s="2">
        <v>76.33</v>
      </c>
      <c r="H104">
        <v>5639</v>
      </c>
      <c r="I104">
        <v>682</v>
      </c>
      <c r="J104">
        <v>12.09</v>
      </c>
      <c r="K104" t="s">
        <v>12</v>
      </c>
      <c r="L104" t="s">
        <v>83</v>
      </c>
      <c r="M104">
        <v>4620</v>
      </c>
      <c r="N104">
        <v>59</v>
      </c>
      <c r="O104">
        <v>1641</v>
      </c>
      <c r="P104">
        <v>2920</v>
      </c>
      <c r="Q104">
        <v>2</v>
      </c>
      <c r="R104">
        <v>955</v>
      </c>
      <c r="S104">
        <v>12</v>
      </c>
      <c r="T104">
        <v>29589</v>
      </c>
      <c r="U104">
        <v>6116</v>
      </c>
      <c r="V104" t="s">
        <v>14</v>
      </c>
    </row>
    <row r="105" spans="1:22" x14ac:dyDescent="0.25">
      <c r="A105" s="3">
        <v>43955</v>
      </c>
      <c r="B105" t="s">
        <v>118</v>
      </c>
      <c r="C105">
        <v>9657785</v>
      </c>
      <c r="D105">
        <v>76078</v>
      </c>
      <c r="E105">
        <v>4128</v>
      </c>
      <c r="F105">
        <v>32949</v>
      </c>
      <c r="G105" s="2">
        <v>64.599999999999994</v>
      </c>
      <c r="H105">
        <v>7153</v>
      </c>
      <c r="I105">
        <v>2537</v>
      </c>
      <c r="J105">
        <v>35.47</v>
      </c>
      <c r="K105" t="s">
        <v>14</v>
      </c>
      <c r="L105" t="s">
        <v>83</v>
      </c>
      <c r="M105">
        <v>4597</v>
      </c>
      <c r="N105">
        <v>600</v>
      </c>
      <c r="O105">
        <v>3463</v>
      </c>
      <c r="P105">
        <v>534</v>
      </c>
      <c r="Q105">
        <v>8</v>
      </c>
      <c r="R105">
        <v>476</v>
      </c>
      <c r="S105">
        <v>62</v>
      </c>
      <c r="T105">
        <v>352546</v>
      </c>
      <c r="U105">
        <v>36504</v>
      </c>
      <c r="V105" t="s">
        <v>12</v>
      </c>
    </row>
    <row r="106" spans="1:22" x14ac:dyDescent="0.25">
      <c r="A106" s="3">
        <v>43956</v>
      </c>
      <c r="B106" t="s">
        <v>119</v>
      </c>
      <c r="C106">
        <v>19174839</v>
      </c>
      <c r="D106">
        <v>79989</v>
      </c>
      <c r="E106">
        <v>5871</v>
      </c>
      <c r="F106">
        <v>35629</v>
      </c>
      <c r="G106" s="2">
        <v>44.9</v>
      </c>
      <c r="H106">
        <v>2992</v>
      </c>
      <c r="I106">
        <v>672</v>
      </c>
      <c r="J106">
        <v>22.46</v>
      </c>
      <c r="K106" t="s">
        <v>14</v>
      </c>
      <c r="L106" t="s">
        <v>83</v>
      </c>
      <c r="M106">
        <v>4491</v>
      </c>
      <c r="N106">
        <v>137</v>
      </c>
      <c r="O106">
        <v>2137</v>
      </c>
      <c r="P106">
        <v>2217</v>
      </c>
      <c r="Q106">
        <v>4</v>
      </c>
      <c r="R106">
        <v>234</v>
      </c>
      <c r="S106">
        <v>7</v>
      </c>
      <c r="T106">
        <v>33466</v>
      </c>
      <c r="U106">
        <v>1745</v>
      </c>
      <c r="V106" t="s">
        <v>14</v>
      </c>
    </row>
    <row r="107" spans="1:22" x14ac:dyDescent="0.25">
      <c r="A107" s="3">
        <v>43957</v>
      </c>
      <c r="B107" t="s">
        <v>120</v>
      </c>
      <c r="C107">
        <v>14883803</v>
      </c>
      <c r="D107">
        <v>90022</v>
      </c>
      <c r="E107">
        <v>6669</v>
      </c>
      <c r="F107">
        <v>44739</v>
      </c>
      <c r="G107" s="2">
        <v>96.6</v>
      </c>
      <c r="H107">
        <v>8800</v>
      </c>
      <c r="I107">
        <v>104</v>
      </c>
      <c r="J107">
        <v>1.18</v>
      </c>
      <c r="K107" t="s">
        <v>22</v>
      </c>
      <c r="L107" t="s">
        <v>255</v>
      </c>
      <c r="M107">
        <v>4339</v>
      </c>
      <c r="N107">
        <v>84</v>
      </c>
      <c r="O107">
        <v>1264</v>
      </c>
      <c r="P107">
        <v>2991</v>
      </c>
      <c r="Q107">
        <v>0</v>
      </c>
      <c r="R107">
        <v>292</v>
      </c>
      <c r="S107">
        <v>6</v>
      </c>
      <c r="T107">
        <v>140421</v>
      </c>
      <c r="U107">
        <v>9434</v>
      </c>
      <c r="V107" t="s">
        <v>14</v>
      </c>
    </row>
    <row r="108" spans="1:22" x14ac:dyDescent="0.25">
      <c r="A108" s="3">
        <v>43958</v>
      </c>
      <c r="B108" t="s">
        <v>121</v>
      </c>
      <c r="C108">
        <v>6632263</v>
      </c>
      <c r="D108">
        <v>90669</v>
      </c>
      <c r="E108">
        <v>5409</v>
      </c>
      <c r="F108">
        <v>38417</v>
      </c>
      <c r="G108" s="2">
        <v>75.599999999999994</v>
      </c>
      <c r="H108">
        <v>2999</v>
      </c>
      <c r="I108">
        <v>370</v>
      </c>
      <c r="J108">
        <v>12.34</v>
      </c>
      <c r="K108" t="s">
        <v>28</v>
      </c>
      <c r="L108" t="s">
        <v>256</v>
      </c>
      <c r="M108">
        <v>3902</v>
      </c>
      <c r="N108">
        <v>123</v>
      </c>
      <c r="O108">
        <v>2913</v>
      </c>
      <c r="P108">
        <v>866</v>
      </c>
      <c r="Q108">
        <v>0</v>
      </c>
      <c r="R108">
        <v>588</v>
      </c>
      <c r="S108">
        <v>19</v>
      </c>
      <c r="T108">
        <v>0</v>
      </c>
      <c r="U108">
        <v>0</v>
      </c>
      <c r="V108" t="s">
        <v>291</v>
      </c>
    </row>
    <row r="109" spans="1:22" x14ac:dyDescent="0.25">
      <c r="A109" s="3">
        <v>43959</v>
      </c>
      <c r="B109" t="s">
        <v>122</v>
      </c>
      <c r="C109">
        <v>7503041</v>
      </c>
      <c r="D109">
        <v>92997</v>
      </c>
      <c r="E109">
        <v>5568</v>
      </c>
      <c r="F109">
        <v>35538</v>
      </c>
      <c r="G109" s="2">
        <v>76.12</v>
      </c>
      <c r="H109">
        <v>2475</v>
      </c>
      <c r="I109">
        <v>38</v>
      </c>
      <c r="J109">
        <v>1.54</v>
      </c>
      <c r="K109" t="s">
        <v>14</v>
      </c>
      <c r="L109" t="s">
        <v>257</v>
      </c>
      <c r="M109">
        <v>3850</v>
      </c>
      <c r="N109">
        <v>46</v>
      </c>
      <c r="O109">
        <v>2458</v>
      </c>
      <c r="P109">
        <v>1346</v>
      </c>
      <c r="Q109">
        <v>39</v>
      </c>
      <c r="R109">
        <v>513</v>
      </c>
      <c r="S109">
        <v>6</v>
      </c>
      <c r="T109">
        <v>692430</v>
      </c>
      <c r="U109">
        <v>92287</v>
      </c>
      <c r="V109" t="s">
        <v>293</v>
      </c>
    </row>
    <row r="110" spans="1:22" x14ac:dyDescent="0.25">
      <c r="A110" s="3">
        <v>43960</v>
      </c>
      <c r="B110" t="s">
        <v>123</v>
      </c>
      <c r="C110">
        <v>5530506</v>
      </c>
      <c r="D110">
        <v>85846</v>
      </c>
      <c r="E110">
        <v>4265</v>
      </c>
      <c r="F110">
        <v>52518</v>
      </c>
      <c r="G110" s="2">
        <v>94.86</v>
      </c>
      <c r="H110">
        <v>677</v>
      </c>
      <c r="I110">
        <v>24</v>
      </c>
      <c r="J110">
        <v>3.55</v>
      </c>
      <c r="K110" t="s">
        <v>12</v>
      </c>
      <c r="L110" t="s">
        <v>258</v>
      </c>
      <c r="M110">
        <v>3546</v>
      </c>
      <c r="N110">
        <v>58</v>
      </c>
      <c r="O110">
        <v>1589</v>
      </c>
      <c r="P110">
        <v>1899</v>
      </c>
      <c r="Q110">
        <v>0</v>
      </c>
      <c r="R110">
        <v>641</v>
      </c>
      <c r="S110">
        <v>10</v>
      </c>
      <c r="T110">
        <v>0</v>
      </c>
      <c r="U110">
        <v>0</v>
      </c>
      <c r="V110" t="s">
        <v>14</v>
      </c>
    </row>
    <row r="111" spans="1:22" x14ac:dyDescent="0.25">
      <c r="A111" s="3">
        <v>43961</v>
      </c>
      <c r="B111" t="s">
        <v>124</v>
      </c>
      <c r="C111">
        <v>628074</v>
      </c>
      <c r="D111">
        <v>76255</v>
      </c>
      <c r="E111">
        <v>3566</v>
      </c>
      <c r="F111">
        <v>32741</v>
      </c>
      <c r="G111" s="2">
        <v>74.95</v>
      </c>
      <c r="H111">
        <v>5923</v>
      </c>
      <c r="I111">
        <v>285</v>
      </c>
      <c r="J111">
        <v>4.8099999999999996</v>
      </c>
      <c r="K111" t="s">
        <v>14</v>
      </c>
      <c r="L111" t="s">
        <v>259</v>
      </c>
      <c r="M111">
        <v>3480</v>
      </c>
      <c r="N111">
        <v>60</v>
      </c>
      <c r="O111">
        <v>2178</v>
      </c>
      <c r="P111">
        <v>1242</v>
      </c>
      <c r="Q111">
        <v>0</v>
      </c>
      <c r="R111">
        <v>5541</v>
      </c>
      <c r="S111">
        <v>96</v>
      </c>
      <c r="T111">
        <v>38427</v>
      </c>
      <c r="U111">
        <v>61182</v>
      </c>
      <c r="V111" t="s">
        <v>12</v>
      </c>
    </row>
    <row r="112" spans="1:22" x14ac:dyDescent="0.25">
      <c r="A112" s="3">
        <v>43962</v>
      </c>
      <c r="B112" t="s">
        <v>125</v>
      </c>
      <c r="C112">
        <v>69817894</v>
      </c>
      <c r="D112">
        <v>76298</v>
      </c>
      <c r="E112">
        <v>3473</v>
      </c>
      <c r="F112">
        <v>46096</v>
      </c>
      <c r="G112" s="2">
        <v>96.51</v>
      </c>
      <c r="H112">
        <v>343</v>
      </c>
      <c r="I112">
        <v>1</v>
      </c>
      <c r="J112">
        <v>0.28999999999999998</v>
      </c>
      <c r="K112" t="s">
        <v>14</v>
      </c>
      <c r="L112" t="s">
        <v>260</v>
      </c>
      <c r="M112">
        <v>3330</v>
      </c>
      <c r="N112">
        <v>58</v>
      </c>
      <c r="O112">
        <v>3148</v>
      </c>
      <c r="P112">
        <v>124</v>
      </c>
      <c r="Q112">
        <v>1</v>
      </c>
      <c r="R112">
        <v>48</v>
      </c>
      <c r="S112">
        <v>0.8</v>
      </c>
      <c r="T112">
        <v>749213</v>
      </c>
      <c r="U112">
        <v>10731</v>
      </c>
      <c r="V112" t="s">
        <v>293</v>
      </c>
    </row>
    <row r="113" spans="1:22" x14ac:dyDescent="0.25">
      <c r="A113" s="3">
        <v>43963</v>
      </c>
      <c r="B113" t="s">
        <v>126</v>
      </c>
      <c r="C113">
        <v>15933012</v>
      </c>
      <c r="D113">
        <v>83619</v>
      </c>
      <c r="E113">
        <v>5547</v>
      </c>
      <c r="F113">
        <v>35987</v>
      </c>
      <c r="G113" s="2">
        <v>76.819999999999993</v>
      </c>
      <c r="H113">
        <v>349396</v>
      </c>
      <c r="I113">
        <v>46093</v>
      </c>
      <c r="J113">
        <v>13.19</v>
      </c>
      <c r="K113" t="s">
        <v>18</v>
      </c>
      <c r="L113" t="s">
        <v>261</v>
      </c>
      <c r="M113">
        <v>3227</v>
      </c>
      <c r="N113">
        <v>93</v>
      </c>
      <c r="O113">
        <v>1728</v>
      </c>
      <c r="P113">
        <v>1406</v>
      </c>
      <c r="Q113">
        <v>2</v>
      </c>
      <c r="R113">
        <v>203</v>
      </c>
      <c r="S113">
        <v>6</v>
      </c>
      <c r="T113">
        <v>0</v>
      </c>
      <c r="U113">
        <v>0</v>
      </c>
      <c r="V113" t="s">
        <v>14</v>
      </c>
    </row>
    <row r="114" spans="1:22" x14ac:dyDescent="0.25">
      <c r="A114" s="3">
        <v>43964</v>
      </c>
      <c r="B114" t="s">
        <v>127</v>
      </c>
      <c r="C114">
        <v>273419</v>
      </c>
      <c r="D114">
        <v>84917</v>
      </c>
      <c r="E114">
        <v>5228</v>
      </c>
      <c r="F114">
        <v>54714</v>
      </c>
      <c r="G114" s="2">
        <v>69.77</v>
      </c>
      <c r="H114">
        <v>21115</v>
      </c>
      <c r="I114">
        <v>2039</v>
      </c>
      <c r="J114">
        <v>9.66</v>
      </c>
      <c r="K114" t="s">
        <v>12</v>
      </c>
      <c r="L114" t="s">
        <v>262</v>
      </c>
      <c r="M114">
        <v>3042</v>
      </c>
      <c r="N114">
        <v>39</v>
      </c>
      <c r="O114">
        <v>2738</v>
      </c>
      <c r="P114">
        <v>265</v>
      </c>
      <c r="Q114">
        <v>2</v>
      </c>
      <c r="R114">
        <v>11126</v>
      </c>
      <c r="S114">
        <v>143</v>
      </c>
      <c r="T114">
        <v>13000</v>
      </c>
      <c r="U114">
        <v>47546</v>
      </c>
      <c r="V114" t="s">
        <v>14</v>
      </c>
    </row>
    <row r="115" spans="1:22" x14ac:dyDescent="0.25">
      <c r="A115" s="3">
        <v>43965</v>
      </c>
      <c r="B115" t="s">
        <v>128</v>
      </c>
      <c r="C115">
        <v>1161348</v>
      </c>
      <c r="D115">
        <v>97106</v>
      </c>
      <c r="E115">
        <v>5268</v>
      </c>
      <c r="F115">
        <v>38807</v>
      </c>
      <c r="G115" s="2">
        <v>89.66</v>
      </c>
      <c r="H115">
        <v>109</v>
      </c>
      <c r="I115">
        <v>7</v>
      </c>
      <c r="J115">
        <v>6.42</v>
      </c>
      <c r="K115" t="s">
        <v>12</v>
      </c>
      <c r="L115" t="s">
        <v>263</v>
      </c>
      <c r="M115">
        <v>2968</v>
      </c>
      <c r="N115">
        <v>55</v>
      </c>
      <c r="O115">
        <v>1476</v>
      </c>
      <c r="P115">
        <v>1437</v>
      </c>
      <c r="Q115">
        <v>5</v>
      </c>
      <c r="R115">
        <v>2556</v>
      </c>
      <c r="S115">
        <v>47</v>
      </c>
      <c r="T115">
        <v>20784</v>
      </c>
      <c r="U115">
        <v>17896</v>
      </c>
      <c r="V115" t="s">
        <v>14</v>
      </c>
    </row>
    <row r="116" spans="1:22" x14ac:dyDescent="0.25">
      <c r="A116" s="3">
        <v>43966</v>
      </c>
      <c r="B116" t="s">
        <v>129</v>
      </c>
      <c r="C116">
        <v>21422362</v>
      </c>
      <c r="D116">
        <v>96349</v>
      </c>
      <c r="E116">
        <v>5215</v>
      </c>
      <c r="F116">
        <v>47168</v>
      </c>
      <c r="G116" s="2">
        <v>76.819999999999993</v>
      </c>
      <c r="H116">
        <v>287</v>
      </c>
      <c r="I116">
        <v>2</v>
      </c>
      <c r="J116">
        <v>0.7</v>
      </c>
      <c r="K116" t="s">
        <v>22</v>
      </c>
      <c r="L116" t="s">
        <v>263</v>
      </c>
      <c r="M116">
        <v>2839</v>
      </c>
      <c r="N116">
        <v>11</v>
      </c>
      <c r="O116">
        <v>2541</v>
      </c>
      <c r="P116">
        <v>287</v>
      </c>
      <c r="Q116">
        <v>1</v>
      </c>
      <c r="R116">
        <v>133</v>
      </c>
      <c r="S116">
        <v>0.5</v>
      </c>
      <c r="T116">
        <v>166737</v>
      </c>
      <c r="U116">
        <v>7783</v>
      </c>
      <c r="V116" t="s">
        <v>293</v>
      </c>
    </row>
    <row r="117" spans="1:22" x14ac:dyDescent="0.25">
      <c r="A117" s="3">
        <v>43967</v>
      </c>
      <c r="B117" t="s">
        <v>130</v>
      </c>
      <c r="C117">
        <v>11325899</v>
      </c>
      <c r="D117">
        <v>95412</v>
      </c>
      <c r="E117">
        <v>4171</v>
      </c>
      <c r="F117">
        <v>55666</v>
      </c>
      <c r="G117" s="2">
        <v>27.96</v>
      </c>
      <c r="H117">
        <v>2188</v>
      </c>
      <c r="I117">
        <v>705</v>
      </c>
      <c r="J117">
        <v>32.22</v>
      </c>
      <c r="K117" t="s">
        <v>12</v>
      </c>
      <c r="L117" t="s">
        <v>263</v>
      </c>
      <c r="M117">
        <v>2775</v>
      </c>
      <c r="N117">
        <v>88</v>
      </c>
      <c r="O117">
        <v>2409</v>
      </c>
      <c r="P117">
        <v>278</v>
      </c>
      <c r="Q117">
        <v>4</v>
      </c>
      <c r="R117">
        <v>245</v>
      </c>
      <c r="S117">
        <v>8</v>
      </c>
      <c r="T117">
        <v>285471</v>
      </c>
      <c r="U117">
        <v>25205</v>
      </c>
      <c r="V117" t="s">
        <v>291</v>
      </c>
    </row>
    <row r="118" spans="1:22" x14ac:dyDescent="0.25">
      <c r="A118" s="3">
        <v>43968</v>
      </c>
      <c r="B118" t="s">
        <v>131</v>
      </c>
      <c r="C118">
        <v>556581</v>
      </c>
      <c r="D118">
        <v>78509</v>
      </c>
      <c r="E118">
        <v>3329</v>
      </c>
      <c r="F118">
        <v>40153</v>
      </c>
      <c r="G118" s="2">
        <v>79.25</v>
      </c>
      <c r="H118">
        <v>17562</v>
      </c>
      <c r="I118">
        <v>3325</v>
      </c>
      <c r="J118">
        <v>18.93</v>
      </c>
      <c r="K118" t="s">
        <v>10</v>
      </c>
      <c r="L118" t="s">
        <v>263</v>
      </c>
      <c r="M118">
        <v>2734</v>
      </c>
      <c r="N118">
        <v>27</v>
      </c>
      <c r="O118">
        <v>2010</v>
      </c>
      <c r="P118">
        <v>697</v>
      </c>
      <c r="Q118">
        <v>0</v>
      </c>
      <c r="R118">
        <v>4912</v>
      </c>
      <c r="S118">
        <v>49</v>
      </c>
      <c r="T118">
        <v>61633</v>
      </c>
      <c r="U118">
        <v>110735</v>
      </c>
      <c r="V118" t="s">
        <v>14</v>
      </c>
    </row>
    <row r="119" spans="1:22" x14ac:dyDescent="0.25">
      <c r="A119" s="3">
        <v>43969</v>
      </c>
      <c r="B119" t="s">
        <v>132</v>
      </c>
      <c r="C119">
        <v>2545264</v>
      </c>
      <c r="D119">
        <v>88284</v>
      </c>
      <c r="E119">
        <v>3291</v>
      </c>
      <c r="F119">
        <v>52210</v>
      </c>
      <c r="G119" s="2">
        <v>0</v>
      </c>
      <c r="H119">
        <v>1507</v>
      </c>
      <c r="I119">
        <v>194</v>
      </c>
      <c r="J119">
        <v>12.87</v>
      </c>
      <c r="K119" t="s">
        <v>14</v>
      </c>
      <c r="L119" t="s">
        <v>263</v>
      </c>
      <c r="M119">
        <v>2652</v>
      </c>
      <c r="N119">
        <v>15</v>
      </c>
      <c r="O119">
        <v>563</v>
      </c>
      <c r="P119">
        <v>2074</v>
      </c>
      <c r="Q119">
        <v>24</v>
      </c>
      <c r="R119">
        <v>1042</v>
      </c>
      <c r="S119">
        <v>6</v>
      </c>
      <c r="T119">
        <v>29233</v>
      </c>
      <c r="U119">
        <v>11485</v>
      </c>
      <c r="V119" t="s">
        <v>14</v>
      </c>
    </row>
    <row r="120" spans="1:22" x14ac:dyDescent="0.25">
      <c r="A120" s="3">
        <v>43970</v>
      </c>
      <c r="B120" t="s">
        <v>133</v>
      </c>
      <c r="C120">
        <v>20302901</v>
      </c>
      <c r="D120">
        <v>96633</v>
      </c>
      <c r="E120">
        <v>4784</v>
      </c>
      <c r="F120">
        <v>51347</v>
      </c>
      <c r="G120" s="2">
        <v>5.48</v>
      </c>
      <c r="H120">
        <v>1344</v>
      </c>
      <c r="I120">
        <v>499</v>
      </c>
      <c r="J120">
        <v>37.130000000000003</v>
      </c>
      <c r="K120" t="s">
        <v>14</v>
      </c>
      <c r="L120" t="s">
        <v>263</v>
      </c>
      <c r="M120">
        <v>2552</v>
      </c>
      <c r="N120">
        <v>124</v>
      </c>
      <c r="O120">
        <v>1954</v>
      </c>
      <c r="P120">
        <v>474</v>
      </c>
      <c r="Q120">
        <v>0</v>
      </c>
      <c r="R120">
        <v>126</v>
      </c>
      <c r="S120">
        <v>6</v>
      </c>
      <c r="T120">
        <v>25152</v>
      </c>
      <c r="U120">
        <v>1239</v>
      </c>
      <c r="V120" t="s">
        <v>14</v>
      </c>
    </row>
    <row r="121" spans="1:22" x14ac:dyDescent="0.25">
      <c r="A121" s="3">
        <v>43971</v>
      </c>
      <c r="B121" t="s">
        <v>134</v>
      </c>
      <c r="C121">
        <v>5459915</v>
      </c>
      <c r="D121">
        <v>103028</v>
      </c>
      <c r="E121">
        <v>4885</v>
      </c>
      <c r="F121">
        <v>58185</v>
      </c>
      <c r="G121" s="2">
        <v>73.349999999999994</v>
      </c>
      <c r="H121">
        <v>17844</v>
      </c>
      <c r="I121">
        <v>908</v>
      </c>
      <c r="J121">
        <v>5.09</v>
      </c>
      <c r="K121" t="s">
        <v>28</v>
      </c>
      <c r="L121" t="s">
        <v>263</v>
      </c>
      <c r="M121">
        <v>2480</v>
      </c>
      <c r="N121">
        <v>29</v>
      </c>
      <c r="O121">
        <v>1824</v>
      </c>
      <c r="P121">
        <v>627</v>
      </c>
      <c r="Q121">
        <v>2</v>
      </c>
      <c r="R121">
        <v>454</v>
      </c>
      <c r="S121">
        <v>5</v>
      </c>
      <c r="T121">
        <v>272322</v>
      </c>
      <c r="U121">
        <v>49877</v>
      </c>
      <c r="V121" t="s">
        <v>12</v>
      </c>
    </row>
    <row r="122" spans="1:22" x14ac:dyDescent="0.25">
      <c r="A122" s="3">
        <v>43972</v>
      </c>
      <c r="B122" t="s">
        <v>135</v>
      </c>
      <c r="C122">
        <v>11206572</v>
      </c>
      <c r="D122">
        <v>106438</v>
      </c>
      <c r="E122">
        <v>4786</v>
      </c>
      <c r="F122">
        <v>50327</v>
      </c>
      <c r="G122" s="2">
        <v>0.35</v>
      </c>
      <c r="H122">
        <v>52132</v>
      </c>
      <c r="I122">
        <v>1281</v>
      </c>
      <c r="J122">
        <v>2.46</v>
      </c>
      <c r="K122" t="s">
        <v>12</v>
      </c>
      <c r="L122" t="s">
        <v>263</v>
      </c>
      <c r="M122">
        <v>2450</v>
      </c>
      <c r="N122">
        <v>47</v>
      </c>
      <c r="O122">
        <v>1175</v>
      </c>
      <c r="P122">
        <v>1228</v>
      </c>
      <c r="Q122">
        <v>0</v>
      </c>
      <c r="R122">
        <v>219</v>
      </c>
      <c r="S122">
        <v>4</v>
      </c>
      <c r="T122">
        <v>12044</v>
      </c>
      <c r="U122">
        <v>1075</v>
      </c>
      <c r="V122" t="s">
        <v>14</v>
      </c>
    </row>
    <row r="123" spans="1:22" x14ac:dyDescent="0.25">
      <c r="A123" s="3">
        <v>43973</v>
      </c>
      <c r="B123" t="s">
        <v>136</v>
      </c>
      <c r="C123">
        <v>2078968</v>
      </c>
      <c r="D123">
        <v>106900</v>
      </c>
      <c r="E123">
        <v>5284</v>
      </c>
      <c r="F123">
        <v>107773</v>
      </c>
      <c r="G123" s="2">
        <v>97.24</v>
      </c>
      <c r="H123">
        <v>1555</v>
      </c>
      <c r="I123">
        <v>2</v>
      </c>
      <c r="J123">
        <v>0.13</v>
      </c>
      <c r="K123" t="s">
        <v>22</v>
      </c>
      <c r="L123" t="s">
        <v>263</v>
      </c>
      <c r="M123">
        <v>2223</v>
      </c>
      <c r="N123">
        <v>125</v>
      </c>
      <c r="O123">
        <v>1909</v>
      </c>
      <c r="P123">
        <v>189</v>
      </c>
      <c r="Q123">
        <v>2</v>
      </c>
      <c r="R123">
        <v>1069</v>
      </c>
      <c r="S123">
        <v>60</v>
      </c>
      <c r="T123">
        <v>135702</v>
      </c>
      <c r="U123">
        <v>65274</v>
      </c>
      <c r="V123" t="s">
        <v>12</v>
      </c>
    </row>
    <row r="124" spans="1:22" x14ac:dyDescent="0.25">
      <c r="A124" s="3">
        <v>43974</v>
      </c>
      <c r="B124" t="s">
        <v>137</v>
      </c>
      <c r="C124">
        <v>2718121</v>
      </c>
      <c r="D124">
        <v>105289</v>
      </c>
      <c r="E124">
        <v>3989</v>
      </c>
      <c r="F124">
        <v>54261</v>
      </c>
      <c r="G124" s="2">
        <v>72.459999999999994</v>
      </c>
      <c r="H124">
        <v>3147</v>
      </c>
      <c r="I124">
        <v>292</v>
      </c>
      <c r="J124">
        <v>9.2799999999999994</v>
      </c>
      <c r="K124" t="s">
        <v>18</v>
      </c>
      <c r="L124" t="s">
        <v>263</v>
      </c>
      <c r="M124">
        <v>2171</v>
      </c>
      <c r="N124">
        <v>81</v>
      </c>
      <c r="O124">
        <v>1656</v>
      </c>
      <c r="P124">
        <v>434</v>
      </c>
      <c r="Q124">
        <v>6</v>
      </c>
      <c r="R124">
        <v>799</v>
      </c>
      <c r="S124">
        <v>30</v>
      </c>
      <c r="T124">
        <v>540784</v>
      </c>
      <c r="U124">
        <v>198955</v>
      </c>
      <c r="V124" t="s">
        <v>12</v>
      </c>
    </row>
    <row r="125" spans="1:22" x14ac:dyDescent="0.25">
      <c r="A125" s="3">
        <v>43975</v>
      </c>
      <c r="B125" t="s">
        <v>138</v>
      </c>
      <c r="C125">
        <v>1326627</v>
      </c>
      <c r="D125">
        <v>95326</v>
      </c>
      <c r="E125">
        <v>3140</v>
      </c>
      <c r="F125">
        <v>54753</v>
      </c>
      <c r="G125" s="2">
        <v>90.72</v>
      </c>
      <c r="H125">
        <v>1105</v>
      </c>
      <c r="I125">
        <v>27</v>
      </c>
      <c r="J125">
        <v>2.44</v>
      </c>
      <c r="K125" t="s">
        <v>14</v>
      </c>
      <c r="L125" t="s">
        <v>263</v>
      </c>
      <c r="M125">
        <v>2124</v>
      </c>
      <c r="N125">
        <v>63</v>
      </c>
      <c r="O125">
        <v>1954</v>
      </c>
      <c r="P125">
        <v>107</v>
      </c>
      <c r="Q125">
        <v>0</v>
      </c>
      <c r="R125">
        <v>1601</v>
      </c>
      <c r="S125">
        <v>47</v>
      </c>
      <c r="T125">
        <v>122880</v>
      </c>
      <c r="U125">
        <v>92626</v>
      </c>
      <c r="V125" t="s">
        <v>12</v>
      </c>
    </row>
    <row r="126" spans="1:22" x14ac:dyDescent="0.25">
      <c r="A126" s="3">
        <v>43976</v>
      </c>
      <c r="B126" t="s">
        <v>139</v>
      </c>
      <c r="C126">
        <v>31333962</v>
      </c>
      <c r="D126">
        <v>87335</v>
      </c>
      <c r="E126">
        <v>1178</v>
      </c>
      <c r="F126">
        <v>63050</v>
      </c>
      <c r="G126" s="2">
        <v>44.2</v>
      </c>
      <c r="H126">
        <v>37225</v>
      </c>
      <c r="I126">
        <v>3955</v>
      </c>
      <c r="J126">
        <v>10.62</v>
      </c>
      <c r="K126" t="s">
        <v>14</v>
      </c>
      <c r="L126" t="s">
        <v>263</v>
      </c>
      <c r="M126">
        <v>2120</v>
      </c>
      <c r="N126">
        <v>15</v>
      </c>
      <c r="O126">
        <v>795</v>
      </c>
      <c r="P126">
        <v>1310</v>
      </c>
      <c r="Q126">
        <v>0</v>
      </c>
      <c r="R126">
        <v>68</v>
      </c>
      <c r="S126">
        <v>0.5</v>
      </c>
      <c r="T126">
        <v>65151</v>
      </c>
      <c r="U126">
        <v>2079</v>
      </c>
      <c r="V126" t="s">
        <v>14</v>
      </c>
    </row>
    <row r="127" spans="1:22" x14ac:dyDescent="0.25">
      <c r="A127" s="3">
        <v>43977</v>
      </c>
      <c r="B127" t="s">
        <v>140</v>
      </c>
      <c r="C127">
        <v>12981546</v>
      </c>
      <c r="D127">
        <v>92742</v>
      </c>
      <c r="E127">
        <v>4203</v>
      </c>
      <c r="F127">
        <v>54513</v>
      </c>
      <c r="G127" s="2">
        <v>54.48</v>
      </c>
      <c r="H127">
        <v>9249</v>
      </c>
      <c r="I127">
        <v>964</v>
      </c>
      <c r="J127">
        <v>10.42</v>
      </c>
      <c r="K127" t="s">
        <v>12</v>
      </c>
      <c r="L127" t="s">
        <v>263</v>
      </c>
      <c r="M127">
        <v>2111</v>
      </c>
      <c r="N127">
        <v>5</v>
      </c>
      <c r="O127">
        <v>1258</v>
      </c>
      <c r="P127">
        <v>848</v>
      </c>
      <c r="Q127">
        <v>0</v>
      </c>
      <c r="R127">
        <v>163</v>
      </c>
      <c r="S127">
        <v>0.4</v>
      </c>
      <c r="T127">
        <v>286251</v>
      </c>
      <c r="U127">
        <v>22051</v>
      </c>
      <c r="V127" t="s">
        <v>14</v>
      </c>
    </row>
    <row r="128" spans="1:22" x14ac:dyDescent="0.25">
      <c r="A128" s="3">
        <v>43978</v>
      </c>
      <c r="B128" t="s">
        <v>141</v>
      </c>
      <c r="C128">
        <v>587154</v>
      </c>
      <c r="D128">
        <v>102600</v>
      </c>
      <c r="E128">
        <v>5213</v>
      </c>
      <c r="F128">
        <v>62495</v>
      </c>
      <c r="G128" s="2">
        <v>95.84</v>
      </c>
      <c r="H128">
        <v>9034</v>
      </c>
      <c r="I128">
        <v>98</v>
      </c>
      <c r="J128">
        <v>1.08</v>
      </c>
      <c r="K128" t="s">
        <v>12</v>
      </c>
      <c r="L128" t="s">
        <v>263</v>
      </c>
      <c r="M128">
        <v>2096</v>
      </c>
      <c r="N128">
        <v>29</v>
      </c>
      <c r="O128">
        <v>1446</v>
      </c>
      <c r="P128">
        <v>621</v>
      </c>
      <c r="Q128">
        <v>9</v>
      </c>
      <c r="R128">
        <v>3570</v>
      </c>
      <c r="S128">
        <v>49</v>
      </c>
      <c r="T128">
        <v>2785</v>
      </c>
      <c r="U128">
        <v>4743</v>
      </c>
      <c r="V128" t="s">
        <v>292</v>
      </c>
    </row>
    <row r="129" spans="1:22" x14ac:dyDescent="0.25">
      <c r="A129" s="3">
        <v>43979</v>
      </c>
      <c r="B129" t="s">
        <v>142</v>
      </c>
      <c r="C129">
        <v>1972277</v>
      </c>
      <c r="D129">
        <v>119314</v>
      </c>
      <c r="E129">
        <v>4701</v>
      </c>
      <c r="F129">
        <v>66133</v>
      </c>
      <c r="G129" s="2">
        <v>74.010000000000005</v>
      </c>
      <c r="H129">
        <v>68400</v>
      </c>
      <c r="I129">
        <v>8658</v>
      </c>
      <c r="J129">
        <v>12.66</v>
      </c>
      <c r="K129" t="s">
        <v>10</v>
      </c>
      <c r="L129" t="s">
        <v>263</v>
      </c>
      <c r="M129">
        <v>2032</v>
      </c>
      <c r="N129">
        <v>27</v>
      </c>
      <c r="O129">
        <v>944</v>
      </c>
      <c r="P129">
        <v>1061</v>
      </c>
      <c r="Q129">
        <v>5</v>
      </c>
      <c r="R129">
        <v>1030</v>
      </c>
      <c r="S129">
        <v>14</v>
      </c>
      <c r="T129">
        <v>1500</v>
      </c>
      <c r="U129">
        <v>761</v>
      </c>
      <c r="V129" t="s">
        <v>14</v>
      </c>
    </row>
    <row r="130" spans="1:22" x14ac:dyDescent="0.25">
      <c r="A130" s="3">
        <v>43980</v>
      </c>
      <c r="B130" t="s">
        <v>143</v>
      </c>
      <c r="C130">
        <v>12151976</v>
      </c>
      <c r="D130">
        <v>121167</v>
      </c>
      <c r="E130">
        <v>4742</v>
      </c>
      <c r="F130">
        <v>76381</v>
      </c>
      <c r="G130" s="2">
        <v>87.87</v>
      </c>
      <c r="H130">
        <v>266096</v>
      </c>
      <c r="I130">
        <v>8193</v>
      </c>
      <c r="J130">
        <v>3.08</v>
      </c>
      <c r="K130" t="s">
        <v>10</v>
      </c>
      <c r="L130" t="s">
        <v>263</v>
      </c>
      <c r="M130">
        <v>1936</v>
      </c>
      <c r="N130">
        <v>38</v>
      </c>
      <c r="O130">
        <v>1600</v>
      </c>
      <c r="P130">
        <v>298</v>
      </c>
      <c r="Q130">
        <v>1</v>
      </c>
      <c r="R130">
        <v>159</v>
      </c>
      <c r="S130">
        <v>3</v>
      </c>
      <c r="T130">
        <v>93677</v>
      </c>
      <c r="U130">
        <v>7709</v>
      </c>
      <c r="V130" t="s">
        <v>14</v>
      </c>
    </row>
    <row r="131" spans="1:22" x14ac:dyDescent="0.25">
      <c r="A131" s="3">
        <v>43981</v>
      </c>
      <c r="B131" t="s">
        <v>144</v>
      </c>
      <c r="C131">
        <v>341465</v>
      </c>
      <c r="D131">
        <v>137833</v>
      </c>
      <c r="E131">
        <v>4156</v>
      </c>
      <c r="F131">
        <v>69854</v>
      </c>
      <c r="G131" s="2">
        <v>57.1</v>
      </c>
      <c r="H131">
        <v>54426</v>
      </c>
      <c r="I131">
        <v>7016</v>
      </c>
      <c r="J131">
        <v>12.89</v>
      </c>
      <c r="K131" t="s">
        <v>18</v>
      </c>
      <c r="L131" t="s">
        <v>263</v>
      </c>
      <c r="M131">
        <v>1930</v>
      </c>
      <c r="N131">
        <v>10</v>
      </c>
      <c r="O131">
        <v>1825</v>
      </c>
      <c r="P131">
        <v>95</v>
      </c>
      <c r="Q131">
        <v>0</v>
      </c>
      <c r="R131">
        <v>5652</v>
      </c>
      <c r="S131">
        <v>29</v>
      </c>
      <c r="T131">
        <v>149693</v>
      </c>
      <c r="U131">
        <v>438385</v>
      </c>
      <c r="V131" t="s">
        <v>12</v>
      </c>
    </row>
    <row r="132" spans="1:22" x14ac:dyDescent="0.25">
      <c r="A132" s="3">
        <v>43982</v>
      </c>
      <c r="B132" t="s">
        <v>145</v>
      </c>
      <c r="C132">
        <v>7992169</v>
      </c>
      <c r="D132">
        <v>107552</v>
      </c>
      <c r="E132">
        <v>2888</v>
      </c>
      <c r="F132">
        <v>75608</v>
      </c>
      <c r="G132" s="2">
        <v>17.739999999999998</v>
      </c>
      <c r="H132">
        <v>19</v>
      </c>
      <c r="I132">
        <v>43</v>
      </c>
      <c r="J132">
        <v>226.32</v>
      </c>
      <c r="K132" t="s">
        <v>22</v>
      </c>
      <c r="L132" t="s">
        <v>263</v>
      </c>
      <c r="M132">
        <v>1877</v>
      </c>
      <c r="N132">
        <v>67</v>
      </c>
      <c r="O132">
        <v>1427</v>
      </c>
      <c r="P132">
        <v>383</v>
      </c>
      <c r="Q132">
        <v>0</v>
      </c>
      <c r="R132">
        <v>235</v>
      </c>
      <c r="S132">
        <v>8</v>
      </c>
      <c r="T132">
        <v>0</v>
      </c>
      <c r="U132">
        <v>0</v>
      </c>
      <c r="V132" t="s">
        <v>14</v>
      </c>
    </row>
    <row r="133" spans="1:22" x14ac:dyDescent="0.25">
      <c r="A133" s="3">
        <v>43983</v>
      </c>
      <c r="B133" t="s">
        <v>146</v>
      </c>
      <c r="C133">
        <v>29886897</v>
      </c>
      <c r="D133">
        <v>95195</v>
      </c>
      <c r="E133">
        <v>3068</v>
      </c>
      <c r="F133">
        <v>54010</v>
      </c>
      <c r="G133" s="2">
        <v>63.87</v>
      </c>
      <c r="H133">
        <v>3748</v>
      </c>
      <c r="I133">
        <v>800</v>
      </c>
      <c r="J133">
        <v>21.34</v>
      </c>
      <c r="K133" t="s">
        <v>18</v>
      </c>
      <c r="L133" t="s">
        <v>263</v>
      </c>
      <c r="M133">
        <v>1768</v>
      </c>
      <c r="N133">
        <v>508</v>
      </c>
      <c r="O133">
        <v>898</v>
      </c>
      <c r="P133">
        <v>362</v>
      </c>
      <c r="Q133">
        <v>0</v>
      </c>
      <c r="R133">
        <v>59</v>
      </c>
      <c r="S133">
        <v>17</v>
      </c>
      <c r="T133">
        <v>120</v>
      </c>
      <c r="U133">
        <v>4</v>
      </c>
      <c r="V133" t="s">
        <v>293</v>
      </c>
    </row>
    <row r="134" spans="1:22" x14ac:dyDescent="0.25">
      <c r="A134" s="3">
        <v>43984</v>
      </c>
      <c r="B134" t="s">
        <v>147</v>
      </c>
      <c r="C134">
        <v>11830801</v>
      </c>
      <c r="D134">
        <v>121577</v>
      </c>
      <c r="E134">
        <v>4823</v>
      </c>
      <c r="F134">
        <v>103484</v>
      </c>
      <c r="G134" s="2">
        <v>69.930000000000007</v>
      </c>
      <c r="H134">
        <v>357681</v>
      </c>
      <c r="I134">
        <v>32036</v>
      </c>
      <c r="J134">
        <v>8.9600000000000009</v>
      </c>
      <c r="K134" t="s">
        <v>18</v>
      </c>
      <c r="L134" t="s">
        <v>263</v>
      </c>
      <c r="M134">
        <v>1642</v>
      </c>
      <c r="N134">
        <v>51</v>
      </c>
      <c r="O134">
        <v>1241</v>
      </c>
      <c r="P134">
        <v>350</v>
      </c>
      <c r="Q134">
        <v>9</v>
      </c>
      <c r="R134">
        <v>139</v>
      </c>
      <c r="S134">
        <v>4</v>
      </c>
      <c r="T134">
        <v>100298</v>
      </c>
      <c r="U134">
        <v>8478</v>
      </c>
      <c r="V134" t="s">
        <v>14</v>
      </c>
    </row>
    <row r="135" spans="1:22" x14ac:dyDescent="0.25">
      <c r="A135" s="3">
        <v>43985</v>
      </c>
      <c r="B135" t="s">
        <v>148</v>
      </c>
      <c r="C135">
        <v>5002100</v>
      </c>
      <c r="D135">
        <v>119389</v>
      </c>
      <c r="E135">
        <v>5572</v>
      </c>
      <c r="F135">
        <v>78347</v>
      </c>
      <c r="G135" s="2">
        <v>32.24</v>
      </c>
      <c r="H135">
        <v>68898</v>
      </c>
      <c r="I135">
        <v>13142</v>
      </c>
      <c r="J135">
        <v>19.07</v>
      </c>
      <c r="K135" t="s">
        <v>22</v>
      </c>
      <c r="L135" t="s">
        <v>263</v>
      </c>
      <c r="M135">
        <v>1569</v>
      </c>
      <c r="N135">
        <v>22</v>
      </c>
      <c r="O135">
        <v>1524</v>
      </c>
      <c r="P135">
        <v>23</v>
      </c>
      <c r="Q135">
        <v>0</v>
      </c>
      <c r="R135">
        <v>314</v>
      </c>
      <c r="S135">
        <v>4</v>
      </c>
      <c r="T135">
        <v>486943</v>
      </c>
      <c r="U135">
        <v>97348</v>
      </c>
      <c r="V135" t="s">
        <v>294</v>
      </c>
    </row>
    <row r="136" spans="1:22" x14ac:dyDescent="0.25">
      <c r="A136" s="3">
        <v>43986</v>
      </c>
      <c r="B136" t="s">
        <v>149</v>
      </c>
      <c r="C136">
        <v>32956300</v>
      </c>
      <c r="D136">
        <v>126937</v>
      </c>
      <c r="E136">
        <v>5149</v>
      </c>
      <c r="F136">
        <v>69346</v>
      </c>
      <c r="G136" s="2">
        <v>75.7</v>
      </c>
      <c r="H136">
        <v>40383</v>
      </c>
      <c r="I136">
        <v>3019</v>
      </c>
      <c r="J136">
        <v>7.48</v>
      </c>
      <c r="K136" t="s">
        <v>12</v>
      </c>
      <c r="L136" t="s">
        <v>263</v>
      </c>
      <c r="M136">
        <v>1483</v>
      </c>
      <c r="N136">
        <v>64</v>
      </c>
      <c r="O136">
        <v>520</v>
      </c>
      <c r="P136">
        <v>899</v>
      </c>
      <c r="Q136">
        <v>20</v>
      </c>
      <c r="R136">
        <v>45</v>
      </c>
      <c r="S136">
        <v>2</v>
      </c>
      <c r="T136">
        <v>64747</v>
      </c>
      <c r="U136">
        <v>1965</v>
      </c>
      <c r="V136" t="s">
        <v>14</v>
      </c>
    </row>
    <row r="137" spans="1:22" x14ac:dyDescent="0.25">
      <c r="A137" s="3">
        <v>43987</v>
      </c>
      <c r="B137" t="s">
        <v>150</v>
      </c>
      <c r="C137">
        <v>3474956</v>
      </c>
      <c r="D137">
        <v>130863</v>
      </c>
      <c r="E137">
        <v>4776</v>
      </c>
      <c r="F137">
        <v>68261</v>
      </c>
      <c r="G137" s="2">
        <v>70.33</v>
      </c>
      <c r="H137">
        <v>48771</v>
      </c>
      <c r="I137">
        <v>1528</v>
      </c>
      <c r="J137">
        <v>3.13</v>
      </c>
      <c r="K137" t="s">
        <v>12</v>
      </c>
      <c r="L137" t="s">
        <v>263</v>
      </c>
      <c r="M137">
        <v>1318</v>
      </c>
      <c r="N137">
        <v>37</v>
      </c>
      <c r="O137">
        <v>1079</v>
      </c>
      <c r="P137">
        <v>202</v>
      </c>
      <c r="Q137">
        <v>2</v>
      </c>
      <c r="R137">
        <v>379</v>
      </c>
      <c r="S137">
        <v>11</v>
      </c>
      <c r="T137">
        <v>126956</v>
      </c>
      <c r="U137">
        <v>36535</v>
      </c>
      <c r="V137" t="s">
        <v>292</v>
      </c>
    </row>
    <row r="138" spans="1:22" x14ac:dyDescent="0.25">
      <c r="A138" s="3">
        <v>43988</v>
      </c>
      <c r="B138" t="s">
        <v>151</v>
      </c>
      <c r="C138">
        <v>1883936</v>
      </c>
      <c r="D138">
        <v>135942</v>
      </c>
      <c r="E138">
        <v>3881</v>
      </c>
      <c r="F138">
        <v>71177</v>
      </c>
      <c r="G138" s="2">
        <v>97.02</v>
      </c>
      <c r="H138">
        <v>107037</v>
      </c>
      <c r="I138">
        <v>2560</v>
      </c>
      <c r="J138">
        <v>2.39</v>
      </c>
      <c r="K138" t="s">
        <v>10</v>
      </c>
      <c r="L138" t="s">
        <v>263</v>
      </c>
      <c r="M138">
        <v>1275</v>
      </c>
      <c r="N138">
        <v>32</v>
      </c>
      <c r="O138">
        <v>1070</v>
      </c>
      <c r="P138">
        <v>173</v>
      </c>
      <c r="Q138">
        <v>0</v>
      </c>
      <c r="R138">
        <v>677</v>
      </c>
      <c r="S138">
        <v>17</v>
      </c>
      <c r="T138">
        <v>207909</v>
      </c>
      <c r="U138">
        <v>110359</v>
      </c>
      <c r="V138" t="s">
        <v>12</v>
      </c>
    </row>
    <row r="139" spans="1:22" x14ac:dyDescent="0.25">
      <c r="A139" s="3">
        <v>43989</v>
      </c>
      <c r="B139" t="s">
        <v>152</v>
      </c>
      <c r="C139">
        <v>10213138</v>
      </c>
      <c r="D139">
        <v>112259</v>
      </c>
      <c r="E139">
        <v>2742</v>
      </c>
      <c r="F139">
        <v>54504</v>
      </c>
      <c r="G139" s="2">
        <v>56.19</v>
      </c>
      <c r="H139">
        <v>38139</v>
      </c>
      <c r="I139">
        <v>7763</v>
      </c>
      <c r="J139">
        <v>20.350000000000001</v>
      </c>
      <c r="K139" t="s">
        <v>12</v>
      </c>
      <c r="L139" t="s">
        <v>263</v>
      </c>
      <c r="M139">
        <v>1232</v>
      </c>
      <c r="N139">
        <v>11</v>
      </c>
      <c r="O139">
        <v>1171</v>
      </c>
      <c r="P139">
        <v>50</v>
      </c>
      <c r="Q139">
        <v>3</v>
      </c>
      <c r="R139">
        <v>121</v>
      </c>
      <c r="S139">
        <v>1</v>
      </c>
      <c r="T139">
        <v>628745</v>
      </c>
      <c r="U139">
        <v>61562</v>
      </c>
      <c r="V139" t="s">
        <v>293</v>
      </c>
    </row>
    <row r="140" spans="1:22" x14ac:dyDescent="0.25">
      <c r="A140" s="3">
        <v>43990</v>
      </c>
      <c r="B140" t="s">
        <v>153</v>
      </c>
      <c r="C140">
        <v>5068618</v>
      </c>
      <c r="D140">
        <v>102225</v>
      </c>
      <c r="E140">
        <v>3697</v>
      </c>
      <c r="F140">
        <v>150922</v>
      </c>
      <c r="G140" s="2">
        <v>73.739999999999995</v>
      </c>
      <c r="H140">
        <v>776212</v>
      </c>
      <c r="I140">
        <v>40468</v>
      </c>
      <c r="J140">
        <v>5.21</v>
      </c>
      <c r="K140" t="s">
        <v>12</v>
      </c>
      <c r="L140" t="s">
        <v>263</v>
      </c>
      <c r="M140">
        <v>1224</v>
      </c>
      <c r="N140">
        <v>78</v>
      </c>
      <c r="O140">
        <v>705</v>
      </c>
      <c r="P140">
        <v>441</v>
      </c>
      <c r="Q140">
        <v>0</v>
      </c>
      <c r="R140">
        <v>241</v>
      </c>
      <c r="S140">
        <v>15</v>
      </c>
      <c r="T140">
        <v>0</v>
      </c>
      <c r="U140">
        <v>0</v>
      </c>
      <c r="V140" t="s">
        <v>14</v>
      </c>
    </row>
    <row r="141" spans="1:22" x14ac:dyDescent="0.25">
      <c r="A141" s="3">
        <v>43991</v>
      </c>
      <c r="B141" t="s">
        <v>154</v>
      </c>
      <c r="C141">
        <v>45867852</v>
      </c>
      <c r="D141">
        <v>124342</v>
      </c>
      <c r="E141">
        <v>4922</v>
      </c>
      <c r="F141">
        <v>81481</v>
      </c>
      <c r="G141" s="2">
        <v>51.89</v>
      </c>
      <c r="H141">
        <v>1629</v>
      </c>
      <c r="I141">
        <v>250</v>
      </c>
      <c r="J141">
        <v>15.35</v>
      </c>
      <c r="K141" t="s">
        <v>14</v>
      </c>
      <c r="L141" t="s">
        <v>263</v>
      </c>
      <c r="M141">
        <v>1223</v>
      </c>
      <c r="N141">
        <v>5</v>
      </c>
      <c r="O141">
        <v>1102</v>
      </c>
      <c r="P141">
        <v>116</v>
      </c>
      <c r="Q141">
        <v>0</v>
      </c>
      <c r="R141">
        <v>27</v>
      </c>
      <c r="S141">
        <v>0.1</v>
      </c>
      <c r="T141">
        <v>288367</v>
      </c>
      <c r="U141">
        <v>6287</v>
      </c>
      <c r="V141" t="s">
        <v>14</v>
      </c>
    </row>
    <row r="142" spans="1:22" x14ac:dyDescent="0.25">
      <c r="A142" s="3">
        <v>43992</v>
      </c>
      <c r="B142" t="s">
        <v>155</v>
      </c>
      <c r="C142">
        <v>1208238</v>
      </c>
      <c r="D142">
        <v>134025</v>
      </c>
      <c r="E142">
        <v>5205</v>
      </c>
      <c r="F142">
        <v>78033</v>
      </c>
      <c r="G142" s="2">
        <v>88.24</v>
      </c>
      <c r="H142">
        <v>17</v>
      </c>
      <c r="I142">
        <v>0</v>
      </c>
      <c r="J142">
        <v>0</v>
      </c>
      <c r="K142" t="s">
        <v>18</v>
      </c>
      <c r="L142" t="s">
        <v>263</v>
      </c>
      <c r="M142">
        <v>1208</v>
      </c>
      <c r="N142">
        <v>19</v>
      </c>
      <c r="O142">
        <v>856</v>
      </c>
      <c r="P142">
        <v>333</v>
      </c>
      <c r="Q142">
        <v>0</v>
      </c>
      <c r="R142">
        <v>1000</v>
      </c>
      <c r="S142">
        <v>16</v>
      </c>
      <c r="T142">
        <v>216597</v>
      </c>
      <c r="U142">
        <v>179267</v>
      </c>
      <c r="V142" t="s">
        <v>293</v>
      </c>
    </row>
    <row r="143" spans="1:22" x14ac:dyDescent="0.25">
      <c r="A143" s="3">
        <v>43993</v>
      </c>
      <c r="B143" t="s">
        <v>156</v>
      </c>
      <c r="C143">
        <v>3988368</v>
      </c>
      <c r="D143">
        <v>138114</v>
      </c>
      <c r="E143">
        <v>4774</v>
      </c>
      <c r="F143">
        <v>84967</v>
      </c>
      <c r="G143" s="2">
        <v>91.67</v>
      </c>
      <c r="H143">
        <v>23</v>
      </c>
      <c r="I143">
        <v>1</v>
      </c>
      <c r="J143">
        <v>4.3499999999999996</v>
      </c>
      <c r="K143" t="s">
        <v>18</v>
      </c>
      <c r="L143" t="s">
        <v>263</v>
      </c>
      <c r="M143">
        <v>1206</v>
      </c>
      <c r="N143">
        <v>17</v>
      </c>
      <c r="O143">
        <v>987</v>
      </c>
      <c r="P143">
        <v>202</v>
      </c>
      <c r="Q143">
        <v>0</v>
      </c>
      <c r="R143">
        <v>302</v>
      </c>
      <c r="S143">
        <v>4</v>
      </c>
      <c r="T143">
        <v>240473</v>
      </c>
      <c r="U143">
        <v>60294</v>
      </c>
      <c r="V143" t="s">
        <v>293</v>
      </c>
    </row>
    <row r="144" spans="1:22" x14ac:dyDescent="0.25">
      <c r="A144" s="3">
        <v>43994</v>
      </c>
      <c r="B144" t="s">
        <v>157</v>
      </c>
      <c r="C144">
        <v>20954852</v>
      </c>
      <c r="D144">
        <v>129094</v>
      </c>
      <c r="E144">
        <v>4297</v>
      </c>
      <c r="F144">
        <v>78812</v>
      </c>
      <c r="G144" s="2">
        <v>75</v>
      </c>
      <c r="H144">
        <v>50</v>
      </c>
      <c r="I144">
        <v>2</v>
      </c>
      <c r="J144">
        <v>4</v>
      </c>
      <c r="K144" t="s">
        <v>18</v>
      </c>
      <c r="L144" t="s">
        <v>263</v>
      </c>
      <c r="M144">
        <v>1158</v>
      </c>
      <c r="N144">
        <v>54</v>
      </c>
      <c r="O144">
        <v>961</v>
      </c>
      <c r="P144">
        <v>143</v>
      </c>
      <c r="Q144">
        <v>0</v>
      </c>
      <c r="R144">
        <v>55</v>
      </c>
      <c r="S144">
        <v>3</v>
      </c>
      <c r="T144">
        <v>0</v>
      </c>
      <c r="U144">
        <v>0</v>
      </c>
      <c r="V144" t="s">
        <v>14</v>
      </c>
    </row>
    <row r="145" spans="1:22" x14ac:dyDescent="0.25">
      <c r="A145" s="3">
        <v>43995</v>
      </c>
      <c r="B145" t="s">
        <v>158</v>
      </c>
      <c r="C145">
        <v>24281433</v>
      </c>
      <c r="D145">
        <v>136010</v>
      </c>
      <c r="E145">
        <v>4238</v>
      </c>
      <c r="F145">
        <v>85115</v>
      </c>
      <c r="G145" s="2">
        <v>93.99</v>
      </c>
      <c r="H145">
        <v>699</v>
      </c>
      <c r="I145">
        <v>0</v>
      </c>
      <c r="J145">
        <v>0</v>
      </c>
      <c r="K145" t="s">
        <v>12</v>
      </c>
      <c r="L145" t="s">
        <v>263</v>
      </c>
      <c r="M145">
        <v>1153</v>
      </c>
      <c r="N145">
        <v>69</v>
      </c>
      <c r="O145">
        <v>1057</v>
      </c>
      <c r="P145">
        <v>27</v>
      </c>
      <c r="Q145">
        <v>0</v>
      </c>
      <c r="R145">
        <v>47</v>
      </c>
      <c r="S145">
        <v>3</v>
      </c>
      <c r="T145">
        <v>9052</v>
      </c>
      <c r="U145">
        <v>373</v>
      </c>
      <c r="V145" t="s">
        <v>14</v>
      </c>
    </row>
    <row r="146" spans="1:22" x14ac:dyDescent="0.25">
      <c r="A146" s="3">
        <v>43996</v>
      </c>
      <c r="B146" t="s">
        <v>159</v>
      </c>
      <c r="C146">
        <v>8296582</v>
      </c>
      <c r="D146">
        <v>133421</v>
      </c>
      <c r="E146">
        <v>3374</v>
      </c>
      <c r="F146">
        <v>69958</v>
      </c>
      <c r="G146" s="2">
        <v>84.86</v>
      </c>
      <c r="H146">
        <v>746</v>
      </c>
      <c r="I146">
        <v>119</v>
      </c>
      <c r="J146">
        <v>15.95</v>
      </c>
      <c r="K146" t="s">
        <v>14</v>
      </c>
      <c r="L146" t="s">
        <v>263</v>
      </c>
      <c r="M146">
        <v>1012</v>
      </c>
      <c r="N146">
        <v>22</v>
      </c>
      <c r="O146">
        <v>697</v>
      </c>
      <c r="P146">
        <v>293</v>
      </c>
      <c r="Q146">
        <v>2</v>
      </c>
      <c r="R146">
        <v>122</v>
      </c>
      <c r="S146">
        <v>3</v>
      </c>
      <c r="T146">
        <v>45767</v>
      </c>
      <c r="U146">
        <v>5516</v>
      </c>
      <c r="V146" t="s">
        <v>14</v>
      </c>
    </row>
    <row r="147" spans="1:22" x14ac:dyDescent="0.25">
      <c r="A147" s="3">
        <v>43997</v>
      </c>
      <c r="B147" t="s">
        <v>160</v>
      </c>
      <c r="C147">
        <v>17539600</v>
      </c>
      <c r="D147">
        <v>119638</v>
      </c>
      <c r="E147">
        <v>3425</v>
      </c>
      <c r="F147">
        <v>79400</v>
      </c>
      <c r="G147" s="2">
        <v>82.9</v>
      </c>
      <c r="H147">
        <v>253349</v>
      </c>
      <c r="I147">
        <v>15585</v>
      </c>
      <c r="J147">
        <v>6.15</v>
      </c>
      <c r="K147" t="s">
        <v>10</v>
      </c>
      <c r="L147" t="s">
        <v>263</v>
      </c>
      <c r="M147">
        <v>999</v>
      </c>
      <c r="N147">
        <v>48</v>
      </c>
      <c r="O147">
        <v>311</v>
      </c>
      <c r="P147">
        <v>640</v>
      </c>
      <c r="Q147">
        <v>0</v>
      </c>
      <c r="R147">
        <v>57</v>
      </c>
      <c r="S147">
        <v>3</v>
      </c>
      <c r="T147">
        <v>0</v>
      </c>
      <c r="U147">
        <v>0</v>
      </c>
      <c r="V147" t="s">
        <v>293</v>
      </c>
    </row>
    <row r="148" spans="1:22" x14ac:dyDescent="0.25">
      <c r="A148" s="3">
        <v>43998</v>
      </c>
      <c r="B148" t="s">
        <v>161</v>
      </c>
      <c r="C148">
        <v>2962478</v>
      </c>
      <c r="D148">
        <v>141403</v>
      </c>
      <c r="E148">
        <v>6867</v>
      </c>
      <c r="F148">
        <v>97394</v>
      </c>
      <c r="G148" s="2">
        <v>66.34</v>
      </c>
      <c r="H148">
        <v>8948</v>
      </c>
      <c r="I148">
        <v>816</v>
      </c>
      <c r="J148">
        <v>9.1199999999999992</v>
      </c>
      <c r="K148" t="s">
        <v>14</v>
      </c>
      <c r="L148" t="s">
        <v>263</v>
      </c>
      <c r="M148">
        <v>958</v>
      </c>
      <c r="N148">
        <v>12</v>
      </c>
      <c r="O148">
        <v>745</v>
      </c>
      <c r="P148">
        <v>201</v>
      </c>
      <c r="Q148">
        <v>0</v>
      </c>
      <c r="R148">
        <v>323</v>
      </c>
      <c r="S148">
        <v>4</v>
      </c>
      <c r="T148">
        <v>41840</v>
      </c>
      <c r="U148">
        <v>14123</v>
      </c>
      <c r="V148" t="s">
        <v>291</v>
      </c>
    </row>
    <row r="149" spans="1:22" x14ac:dyDescent="0.25">
      <c r="A149" s="3">
        <v>43999</v>
      </c>
      <c r="B149" t="s">
        <v>162</v>
      </c>
      <c r="C149">
        <v>441663</v>
      </c>
      <c r="D149">
        <v>141853</v>
      </c>
      <c r="E149">
        <v>5255</v>
      </c>
      <c r="F149">
        <v>117401</v>
      </c>
      <c r="G149" s="2">
        <v>0</v>
      </c>
      <c r="H149">
        <v>21253</v>
      </c>
      <c r="I149">
        <v>2888</v>
      </c>
      <c r="J149">
        <v>13.59</v>
      </c>
      <c r="K149" t="s">
        <v>12</v>
      </c>
      <c r="L149" t="s">
        <v>263</v>
      </c>
      <c r="M149">
        <v>946</v>
      </c>
      <c r="N149">
        <v>9</v>
      </c>
      <c r="O149">
        <v>670</v>
      </c>
      <c r="P149">
        <v>267</v>
      </c>
      <c r="Q149">
        <v>0</v>
      </c>
      <c r="R149">
        <v>2142</v>
      </c>
      <c r="S149">
        <v>20</v>
      </c>
      <c r="T149">
        <v>136713</v>
      </c>
      <c r="U149">
        <v>309541</v>
      </c>
      <c r="V149" t="s">
        <v>12</v>
      </c>
    </row>
    <row r="150" spans="1:22" x14ac:dyDescent="0.25">
      <c r="A150" s="3">
        <v>44000</v>
      </c>
      <c r="B150" t="s">
        <v>163</v>
      </c>
      <c r="C150">
        <v>77278</v>
      </c>
      <c r="D150">
        <v>139928</v>
      </c>
      <c r="E150">
        <v>5029</v>
      </c>
      <c r="F150">
        <v>80625</v>
      </c>
      <c r="G150" s="2">
        <v>34.21</v>
      </c>
      <c r="H150">
        <v>108</v>
      </c>
      <c r="I150">
        <v>6</v>
      </c>
      <c r="J150">
        <v>5.56</v>
      </c>
      <c r="K150" t="s">
        <v>14</v>
      </c>
      <c r="L150" t="s">
        <v>263</v>
      </c>
      <c r="M150">
        <v>944</v>
      </c>
      <c r="N150">
        <v>52</v>
      </c>
      <c r="O150">
        <v>828</v>
      </c>
      <c r="P150">
        <v>64</v>
      </c>
      <c r="Q150">
        <v>1</v>
      </c>
      <c r="R150">
        <v>12216</v>
      </c>
      <c r="S150">
        <v>673</v>
      </c>
      <c r="T150">
        <v>3750</v>
      </c>
      <c r="U150">
        <v>48526</v>
      </c>
      <c r="V150" t="s">
        <v>12</v>
      </c>
    </row>
    <row r="151" spans="1:22" x14ac:dyDescent="0.25">
      <c r="A151" s="3">
        <v>44001</v>
      </c>
      <c r="B151" t="s">
        <v>164</v>
      </c>
      <c r="C151">
        <v>16467965</v>
      </c>
      <c r="D151">
        <v>180954</v>
      </c>
      <c r="E151">
        <v>6273</v>
      </c>
      <c r="F151">
        <v>94472</v>
      </c>
      <c r="G151" s="2">
        <v>73.86</v>
      </c>
      <c r="H151">
        <v>1711</v>
      </c>
      <c r="I151">
        <v>72</v>
      </c>
      <c r="J151">
        <v>4.21</v>
      </c>
      <c r="K151" t="s">
        <v>14</v>
      </c>
      <c r="L151" t="s">
        <v>263</v>
      </c>
      <c r="M151">
        <v>942</v>
      </c>
      <c r="N151">
        <v>76</v>
      </c>
      <c r="O151">
        <v>838</v>
      </c>
      <c r="P151">
        <v>28</v>
      </c>
      <c r="Q151">
        <v>0</v>
      </c>
      <c r="R151">
        <v>57</v>
      </c>
      <c r="S151">
        <v>5</v>
      </c>
      <c r="T151">
        <v>0</v>
      </c>
      <c r="U151">
        <v>0</v>
      </c>
      <c r="V151" t="s">
        <v>14</v>
      </c>
    </row>
    <row r="152" spans="1:22" x14ac:dyDescent="0.25">
      <c r="A152" s="3">
        <v>44002</v>
      </c>
      <c r="B152" t="s">
        <v>165</v>
      </c>
      <c r="C152">
        <v>2422754</v>
      </c>
      <c r="D152">
        <v>157552</v>
      </c>
      <c r="E152">
        <v>4249</v>
      </c>
      <c r="F152">
        <v>115305</v>
      </c>
      <c r="G152" s="2">
        <v>89.88</v>
      </c>
      <c r="H152">
        <v>48035</v>
      </c>
      <c r="I152">
        <v>2803</v>
      </c>
      <c r="J152">
        <v>5.84</v>
      </c>
      <c r="K152" t="s">
        <v>22</v>
      </c>
      <c r="L152" t="s">
        <v>263</v>
      </c>
      <c r="M152">
        <v>935</v>
      </c>
      <c r="N152">
        <v>16</v>
      </c>
      <c r="O152">
        <v>136</v>
      </c>
      <c r="P152">
        <v>783</v>
      </c>
      <c r="Q152">
        <v>0</v>
      </c>
      <c r="R152">
        <v>386</v>
      </c>
      <c r="S152">
        <v>7</v>
      </c>
      <c r="T152">
        <v>5183</v>
      </c>
      <c r="U152">
        <v>2139</v>
      </c>
      <c r="V152" t="s">
        <v>14</v>
      </c>
    </row>
    <row r="153" spans="1:22" x14ac:dyDescent="0.25">
      <c r="A153" s="3">
        <v>44003</v>
      </c>
      <c r="B153" t="s">
        <v>166</v>
      </c>
      <c r="C153">
        <v>219544</v>
      </c>
      <c r="D153">
        <v>128539</v>
      </c>
      <c r="E153">
        <v>3963</v>
      </c>
      <c r="F153">
        <v>68272</v>
      </c>
      <c r="G153" s="2">
        <v>74.09</v>
      </c>
      <c r="H153">
        <v>1980</v>
      </c>
      <c r="I153">
        <v>201</v>
      </c>
      <c r="J153">
        <v>10.15</v>
      </c>
      <c r="K153" t="s">
        <v>12</v>
      </c>
      <c r="L153" t="s">
        <v>263</v>
      </c>
      <c r="M153">
        <v>878</v>
      </c>
      <c r="N153">
        <v>15</v>
      </c>
      <c r="O153">
        <v>797</v>
      </c>
      <c r="P153">
        <v>66</v>
      </c>
      <c r="Q153">
        <v>0</v>
      </c>
      <c r="R153">
        <v>3999</v>
      </c>
      <c r="S153">
        <v>68</v>
      </c>
      <c r="T153">
        <v>3079</v>
      </c>
      <c r="U153">
        <v>14025</v>
      </c>
      <c r="V153" t="s">
        <v>14</v>
      </c>
    </row>
    <row r="154" spans="1:22" x14ac:dyDescent="0.25">
      <c r="A154" s="3">
        <v>44004</v>
      </c>
      <c r="B154" t="s">
        <v>167</v>
      </c>
      <c r="C154">
        <v>2356075</v>
      </c>
      <c r="D154">
        <v>137858</v>
      </c>
      <c r="E154">
        <v>3571</v>
      </c>
      <c r="F154">
        <v>91218</v>
      </c>
      <c r="G154" s="2">
        <v>83.04</v>
      </c>
      <c r="H154">
        <v>1953</v>
      </c>
      <c r="I154">
        <v>134</v>
      </c>
      <c r="J154">
        <v>6.86</v>
      </c>
      <c r="K154" t="s">
        <v>12</v>
      </c>
      <c r="L154" t="s">
        <v>263</v>
      </c>
      <c r="M154">
        <v>804</v>
      </c>
      <c r="N154">
        <v>2</v>
      </c>
      <c r="O154">
        <v>63</v>
      </c>
      <c r="P154">
        <v>739</v>
      </c>
      <c r="Q154">
        <v>1</v>
      </c>
      <c r="R154">
        <v>341</v>
      </c>
      <c r="S154">
        <v>0.8</v>
      </c>
      <c r="T154">
        <v>68423</v>
      </c>
      <c r="U154">
        <v>29041</v>
      </c>
      <c r="V154" t="s">
        <v>14</v>
      </c>
    </row>
    <row r="155" spans="1:22" x14ac:dyDescent="0.25">
      <c r="A155" s="3">
        <v>44005</v>
      </c>
      <c r="B155" t="s">
        <v>168</v>
      </c>
      <c r="C155">
        <v>393616</v>
      </c>
      <c r="D155">
        <v>165338</v>
      </c>
      <c r="E155">
        <v>5311</v>
      </c>
      <c r="F155">
        <v>103603</v>
      </c>
      <c r="G155" s="2">
        <v>48.28</v>
      </c>
      <c r="H155">
        <v>3130</v>
      </c>
      <c r="I155">
        <v>66</v>
      </c>
      <c r="J155">
        <v>2.11</v>
      </c>
      <c r="K155" t="s">
        <v>10</v>
      </c>
      <c r="L155" t="s">
        <v>263</v>
      </c>
      <c r="M155">
        <v>761</v>
      </c>
      <c r="N155">
        <v>14</v>
      </c>
      <c r="O155">
        <v>91</v>
      </c>
      <c r="P155">
        <v>656</v>
      </c>
      <c r="Q155">
        <v>1</v>
      </c>
      <c r="R155">
        <v>1933</v>
      </c>
      <c r="S155">
        <v>36</v>
      </c>
      <c r="T155">
        <v>4814</v>
      </c>
      <c r="U155">
        <v>12230</v>
      </c>
      <c r="V155" t="s">
        <v>291</v>
      </c>
    </row>
    <row r="156" spans="1:22" x14ac:dyDescent="0.25">
      <c r="A156" s="3">
        <v>44006</v>
      </c>
      <c r="B156" t="s">
        <v>169</v>
      </c>
      <c r="C156">
        <v>97425470</v>
      </c>
      <c r="D156">
        <v>171183</v>
      </c>
      <c r="E156">
        <v>5261</v>
      </c>
      <c r="F156">
        <v>115309</v>
      </c>
      <c r="G156" s="2">
        <v>60.75</v>
      </c>
      <c r="H156">
        <v>373628</v>
      </c>
      <c r="I156">
        <v>78901</v>
      </c>
      <c r="J156">
        <v>21.12</v>
      </c>
      <c r="K156" t="s">
        <v>14</v>
      </c>
      <c r="L156" t="s">
        <v>263</v>
      </c>
      <c r="M156">
        <v>747</v>
      </c>
      <c r="N156">
        <v>10</v>
      </c>
      <c r="O156">
        <v>392</v>
      </c>
      <c r="P156">
        <v>345</v>
      </c>
      <c r="Q156">
        <v>0</v>
      </c>
      <c r="R156">
        <v>8</v>
      </c>
      <c r="S156">
        <v>0.1</v>
      </c>
      <c r="T156">
        <v>482456</v>
      </c>
      <c r="U156">
        <v>4952</v>
      </c>
      <c r="V156" t="s">
        <v>293</v>
      </c>
    </row>
    <row r="157" spans="1:22" x14ac:dyDescent="0.25">
      <c r="A157" s="3">
        <v>44007</v>
      </c>
      <c r="B157" t="s">
        <v>170</v>
      </c>
      <c r="C157">
        <v>2143943</v>
      </c>
      <c r="D157">
        <v>177887</v>
      </c>
      <c r="E157">
        <v>6627</v>
      </c>
      <c r="F157">
        <v>92453</v>
      </c>
      <c r="G157" s="2">
        <v>91.58</v>
      </c>
      <c r="H157">
        <v>13816</v>
      </c>
      <c r="I157">
        <v>387</v>
      </c>
      <c r="J157">
        <v>2.8</v>
      </c>
      <c r="K157" t="s">
        <v>22</v>
      </c>
      <c r="L157" t="s">
        <v>263</v>
      </c>
      <c r="M157">
        <v>742</v>
      </c>
      <c r="N157">
        <v>23</v>
      </c>
      <c r="O157">
        <v>175</v>
      </c>
      <c r="P157">
        <v>544</v>
      </c>
      <c r="Q157">
        <v>0</v>
      </c>
      <c r="R157">
        <v>346</v>
      </c>
      <c r="S157">
        <v>11</v>
      </c>
      <c r="T157">
        <v>8771</v>
      </c>
      <c r="U157">
        <v>4091</v>
      </c>
      <c r="V157" t="s">
        <v>14</v>
      </c>
    </row>
    <row r="158" spans="1:22" x14ac:dyDescent="0.25">
      <c r="A158" s="3">
        <v>44008</v>
      </c>
      <c r="B158" t="s">
        <v>171</v>
      </c>
      <c r="C158">
        <v>0</v>
      </c>
      <c r="D158">
        <v>191346</v>
      </c>
      <c r="E158">
        <v>4827</v>
      </c>
      <c r="F158">
        <v>106316</v>
      </c>
      <c r="G158" s="2">
        <v>50.98</v>
      </c>
      <c r="H158">
        <v>2211</v>
      </c>
      <c r="I158">
        <v>94</v>
      </c>
      <c r="J158">
        <v>4.25</v>
      </c>
      <c r="K158" t="s">
        <v>14</v>
      </c>
      <c r="L158" t="s">
        <v>263</v>
      </c>
      <c r="M158">
        <v>712</v>
      </c>
      <c r="N158">
        <v>13</v>
      </c>
      <c r="O158">
        <v>651</v>
      </c>
      <c r="P158">
        <v>48</v>
      </c>
      <c r="Q158">
        <v>4</v>
      </c>
      <c r="R158">
        <v>0</v>
      </c>
      <c r="S158">
        <v>0</v>
      </c>
      <c r="T158">
        <v>0</v>
      </c>
      <c r="U158">
        <v>0</v>
      </c>
      <c r="V158" t="s">
        <v>14</v>
      </c>
    </row>
    <row r="159" spans="1:22" x14ac:dyDescent="0.25">
      <c r="A159" s="3">
        <v>44009</v>
      </c>
      <c r="B159" t="s">
        <v>172</v>
      </c>
      <c r="C159">
        <v>33938</v>
      </c>
      <c r="D159">
        <v>178110</v>
      </c>
      <c r="E159">
        <v>4486</v>
      </c>
      <c r="F159">
        <v>106034</v>
      </c>
      <c r="G159" s="2">
        <v>55.2</v>
      </c>
      <c r="H159">
        <v>264836</v>
      </c>
      <c r="I159">
        <v>7585</v>
      </c>
      <c r="J159">
        <v>2.86</v>
      </c>
      <c r="K159" t="s">
        <v>12</v>
      </c>
      <c r="L159" t="s">
        <v>263</v>
      </c>
      <c r="M159">
        <v>699</v>
      </c>
      <c r="N159">
        <v>42</v>
      </c>
      <c r="O159">
        <v>657</v>
      </c>
      <c r="P159">
        <v>0</v>
      </c>
      <c r="Q159">
        <v>0</v>
      </c>
      <c r="R159">
        <v>20596</v>
      </c>
      <c r="S159">
        <v>1238</v>
      </c>
      <c r="T159">
        <v>6068</v>
      </c>
      <c r="U159">
        <v>178797</v>
      </c>
      <c r="V159" t="s">
        <v>12</v>
      </c>
    </row>
    <row r="160" spans="1:22" x14ac:dyDescent="0.25">
      <c r="A160" s="3">
        <v>44010</v>
      </c>
      <c r="B160" t="s">
        <v>173</v>
      </c>
      <c r="C160">
        <v>895952</v>
      </c>
      <c r="D160">
        <v>162349</v>
      </c>
      <c r="E160">
        <v>3089</v>
      </c>
      <c r="F160">
        <v>88784</v>
      </c>
      <c r="G160" s="2">
        <v>75.61</v>
      </c>
      <c r="H160">
        <v>2730</v>
      </c>
      <c r="I160">
        <v>75</v>
      </c>
      <c r="J160">
        <v>2.75</v>
      </c>
      <c r="K160" t="s">
        <v>28</v>
      </c>
      <c r="L160" t="s">
        <v>263</v>
      </c>
      <c r="M160">
        <v>671</v>
      </c>
      <c r="N160">
        <v>5</v>
      </c>
      <c r="O160">
        <v>592</v>
      </c>
      <c r="P160">
        <v>74</v>
      </c>
      <c r="Q160">
        <v>3</v>
      </c>
      <c r="R160">
        <v>749</v>
      </c>
      <c r="S160">
        <v>6</v>
      </c>
      <c r="T160">
        <v>35419</v>
      </c>
      <c r="U160">
        <v>39532</v>
      </c>
      <c r="V160" t="s">
        <v>14</v>
      </c>
    </row>
    <row r="161" spans="1:22" x14ac:dyDescent="0.25">
      <c r="A161" s="3">
        <v>44011</v>
      </c>
      <c r="B161" t="s">
        <v>174</v>
      </c>
      <c r="C161">
        <v>174022</v>
      </c>
      <c r="D161">
        <v>158572</v>
      </c>
      <c r="E161">
        <v>3721</v>
      </c>
      <c r="F161">
        <v>93902</v>
      </c>
      <c r="G161" s="2">
        <v>51.99</v>
      </c>
      <c r="H161">
        <v>10992</v>
      </c>
      <c r="I161">
        <v>432</v>
      </c>
      <c r="J161">
        <v>3.93</v>
      </c>
      <c r="K161" t="s">
        <v>10</v>
      </c>
      <c r="L161" t="s">
        <v>263</v>
      </c>
      <c r="M161">
        <v>597</v>
      </c>
      <c r="N161">
        <v>47</v>
      </c>
      <c r="O161">
        <v>533</v>
      </c>
      <c r="P161">
        <v>17</v>
      </c>
      <c r="Q161">
        <v>0</v>
      </c>
      <c r="R161">
        <v>3431</v>
      </c>
      <c r="S161">
        <v>270</v>
      </c>
      <c r="T161">
        <v>30721</v>
      </c>
      <c r="U161">
        <v>176535</v>
      </c>
      <c r="V161" t="s">
        <v>12</v>
      </c>
    </row>
    <row r="162" spans="1:22" x14ac:dyDescent="0.25">
      <c r="A162" s="3">
        <v>44012</v>
      </c>
      <c r="B162" t="s">
        <v>175</v>
      </c>
      <c r="C162">
        <v>786936</v>
      </c>
      <c r="D162">
        <v>173898</v>
      </c>
      <c r="E162">
        <v>5132</v>
      </c>
      <c r="F162">
        <v>116965</v>
      </c>
      <c r="G162" s="2">
        <v>62.37</v>
      </c>
      <c r="H162">
        <v>1079</v>
      </c>
      <c r="I162">
        <v>404</v>
      </c>
      <c r="J162">
        <v>37.44</v>
      </c>
      <c r="K162" t="s">
        <v>18</v>
      </c>
      <c r="L162" t="s">
        <v>263</v>
      </c>
      <c r="M162">
        <v>538</v>
      </c>
      <c r="N162">
        <v>22</v>
      </c>
      <c r="O162">
        <v>189</v>
      </c>
      <c r="P162">
        <v>327</v>
      </c>
      <c r="Q162">
        <v>2</v>
      </c>
      <c r="R162">
        <v>684</v>
      </c>
      <c r="S162">
        <v>28</v>
      </c>
      <c r="T162">
        <v>5165</v>
      </c>
      <c r="U162">
        <v>6563</v>
      </c>
      <c r="V162" t="s">
        <v>292</v>
      </c>
    </row>
    <row r="163" spans="1:22" x14ac:dyDescent="0.25">
      <c r="A163" s="3">
        <v>44013</v>
      </c>
      <c r="B163" t="s">
        <v>176</v>
      </c>
      <c r="C163">
        <v>59886383</v>
      </c>
      <c r="D163">
        <v>217689</v>
      </c>
      <c r="E163">
        <v>5011</v>
      </c>
      <c r="F163">
        <v>115624</v>
      </c>
      <c r="G163" s="2">
        <v>0</v>
      </c>
      <c r="H163">
        <v>78048</v>
      </c>
      <c r="I163">
        <v>1347</v>
      </c>
      <c r="J163">
        <v>1.73</v>
      </c>
      <c r="K163" t="s">
        <v>12</v>
      </c>
      <c r="L163" t="s">
        <v>263</v>
      </c>
      <c r="M163">
        <v>509</v>
      </c>
      <c r="N163">
        <v>21</v>
      </c>
      <c r="O163">
        <v>183</v>
      </c>
      <c r="P163">
        <v>305</v>
      </c>
      <c r="Q163">
        <v>7</v>
      </c>
      <c r="R163">
        <v>8</v>
      </c>
      <c r="S163">
        <v>0.4</v>
      </c>
      <c r="T163">
        <v>0</v>
      </c>
      <c r="U163">
        <v>0</v>
      </c>
      <c r="V163" t="s">
        <v>14</v>
      </c>
    </row>
    <row r="164" spans="1:22" x14ac:dyDescent="0.25">
      <c r="A164" s="3">
        <v>44014</v>
      </c>
      <c r="B164" t="s">
        <v>177</v>
      </c>
      <c r="C164">
        <v>23821199</v>
      </c>
      <c r="D164">
        <v>207705</v>
      </c>
      <c r="E164">
        <v>5120</v>
      </c>
      <c r="F164">
        <v>284394</v>
      </c>
      <c r="G164" s="2">
        <v>89.62</v>
      </c>
      <c r="H164">
        <v>33634</v>
      </c>
      <c r="I164">
        <v>843</v>
      </c>
      <c r="J164">
        <v>2.5099999999999998</v>
      </c>
      <c r="K164" t="s">
        <v>12</v>
      </c>
      <c r="L164" t="s">
        <v>263</v>
      </c>
      <c r="M164">
        <v>477</v>
      </c>
      <c r="N164">
        <v>7</v>
      </c>
      <c r="O164">
        <v>443</v>
      </c>
      <c r="P164">
        <v>27</v>
      </c>
      <c r="Q164">
        <v>0</v>
      </c>
      <c r="R164">
        <v>20</v>
      </c>
      <c r="S164">
        <v>0.3</v>
      </c>
      <c r="T164">
        <v>82737</v>
      </c>
      <c r="U164">
        <v>3473</v>
      </c>
      <c r="V164" t="s">
        <v>293</v>
      </c>
    </row>
    <row r="165" spans="1:22" x14ac:dyDescent="0.25">
      <c r="A165" s="3">
        <v>44015</v>
      </c>
      <c r="B165" t="s">
        <v>178</v>
      </c>
      <c r="C165">
        <v>871326</v>
      </c>
      <c r="D165">
        <v>203495</v>
      </c>
      <c r="E165">
        <v>4995</v>
      </c>
      <c r="F165">
        <v>109465</v>
      </c>
      <c r="G165" s="2">
        <v>0</v>
      </c>
      <c r="H165">
        <v>522</v>
      </c>
      <c r="I165">
        <v>152</v>
      </c>
      <c r="J165">
        <v>29.12</v>
      </c>
      <c r="K165" t="s">
        <v>10</v>
      </c>
      <c r="L165" t="s">
        <v>263</v>
      </c>
      <c r="M165">
        <v>396</v>
      </c>
      <c r="N165">
        <v>7</v>
      </c>
      <c r="O165">
        <v>340</v>
      </c>
      <c r="P165">
        <v>49</v>
      </c>
      <c r="Q165">
        <v>0</v>
      </c>
      <c r="R165">
        <v>454</v>
      </c>
      <c r="S165">
        <v>8</v>
      </c>
      <c r="T165">
        <v>0</v>
      </c>
      <c r="U165">
        <v>0</v>
      </c>
      <c r="V165" t="s">
        <v>14</v>
      </c>
    </row>
    <row r="166" spans="1:22" x14ac:dyDescent="0.25">
      <c r="A166" s="3">
        <v>44016</v>
      </c>
      <c r="B166" t="s">
        <v>179</v>
      </c>
      <c r="C166">
        <v>11922216</v>
      </c>
      <c r="D166">
        <v>193567</v>
      </c>
      <c r="E166">
        <v>4369</v>
      </c>
      <c r="F166">
        <v>195433</v>
      </c>
      <c r="G166" s="2">
        <v>95.24</v>
      </c>
      <c r="H166">
        <v>451</v>
      </c>
      <c r="I166">
        <v>11</v>
      </c>
      <c r="J166">
        <v>2.44</v>
      </c>
      <c r="K166" t="s">
        <v>22</v>
      </c>
      <c r="L166" t="s">
        <v>264</v>
      </c>
      <c r="M166">
        <v>395</v>
      </c>
      <c r="N166">
        <v>1</v>
      </c>
      <c r="O166">
        <v>304</v>
      </c>
      <c r="P166">
        <v>90</v>
      </c>
      <c r="Q166">
        <v>0</v>
      </c>
      <c r="R166">
        <v>33</v>
      </c>
      <c r="S166">
        <v>0.08</v>
      </c>
      <c r="T166">
        <v>15614</v>
      </c>
      <c r="U166">
        <v>1310</v>
      </c>
      <c r="V166" t="s">
        <v>14</v>
      </c>
    </row>
    <row r="167" spans="1:22" x14ac:dyDescent="0.25">
      <c r="A167" s="3">
        <v>44017</v>
      </c>
      <c r="B167" t="s">
        <v>180</v>
      </c>
      <c r="C167">
        <v>54446389</v>
      </c>
      <c r="D167">
        <v>182695</v>
      </c>
      <c r="E167">
        <v>3445</v>
      </c>
      <c r="F167">
        <v>119171</v>
      </c>
      <c r="G167" s="2">
        <v>83.32</v>
      </c>
      <c r="H167">
        <v>6921</v>
      </c>
      <c r="I167">
        <v>314</v>
      </c>
      <c r="J167">
        <v>4.54</v>
      </c>
      <c r="K167" t="s">
        <v>12</v>
      </c>
      <c r="L167" t="s">
        <v>265</v>
      </c>
      <c r="M167">
        <v>357</v>
      </c>
      <c r="N167">
        <v>6</v>
      </c>
      <c r="O167">
        <v>308</v>
      </c>
      <c r="P167">
        <v>43</v>
      </c>
      <c r="Q167">
        <v>0</v>
      </c>
      <c r="R167">
        <v>7</v>
      </c>
      <c r="S167">
        <v>0.1</v>
      </c>
      <c r="T167">
        <v>122290</v>
      </c>
      <c r="U167">
        <v>2246</v>
      </c>
      <c r="V167" t="s">
        <v>293</v>
      </c>
    </row>
    <row r="168" spans="1:22" x14ac:dyDescent="0.25">
      <c r="A168" s="3">
        <v>44018</v>
      </c>
      <c r="B168" t="s">
        <v>181</v>
      </c>
      <c r="C168">
        <v>1271985</v>
      </c>
      <c r="D168">
        <v>167343</v>
      </c>
      <c r="E168">
        <v>3797</v>
      </c>
      <c r="F168">
        <v>123222</v>
      </c>
      <c r="G168" s="2">
        <v>35.950000000000003</v>
      </c>
      <c r="H168">
        <v>509</v>
      </c>
      <c r="I168">
        <v>0</v>
      </c>
      <c r="J168">
        <v>0</v>
      </c>
      <c r="K168" t="s">
        <v>14</v>
      </c>
      <c r="L168" t="s">
        <v>266</v>
      </c>
      <c r="M168">
        <v>344</v>
      </c>
      <c r="N168">
        <v>10</v>
      </c>
      <c r="O168">
        <v>334</v>
      </c>
      <c r="P168">
        <v>0</v>
      </c>
      <c r="Q168">
        <v>0</v>
      </c>
      <c r="R168">
        <v>270</v>
      </c>
      <c r="S168">
        <v>8</v>
      </c>
      <c r="T168">
        <v>205285</v>
      </c>
      <c r="U168">
        <v>161389</v>
      </c>
      <c r="V168" t="s">
        <v>14</v>
      </c>
    </row>
    <row r="169" spans="1:22" x14ac:dyDescent="0.25">
      <c r="A169" s="3">
        <v>44019</v>
      </c>
      <c r="B169" t="s">
        <v>182</v>
      </c>
      <c r="C169">
        <v>85078</v>
      </c>
      <c r="D169">
        <v>210844</v>
      </c>
      <c r="E169">
        <v>6107</v>
      </c>
      <c r="F169">
        <v>144745</v>
      </c>
      <c r="G169" s="2">
        <v>94.36</v>
      </c>
      <c r="H169">
        <v>3250</v>
      </c>
      <c r="I169">
        <v>47</v>
      </c>
      <c r="J169">
        <v>1.45</v>
      </c>
      <c r="K169" t="s">
        <v>28</v>
      </c>
      <c r="L169" t="s">
        <v>266</v>
      </c>
      <c r="M169">
        <v>336</v>
      </c>
      <c r="N169">
        <v>24</v>
      </c>
      <c r="O169">
        <v>312</v>
      </c>
      <c r="P169">
        <v>0</v>
      </c>
      <c r="Q169">
        <v>0</v>
      </c>
      <c r="R169">
        <v>3949</v>
      </c>
      <c r="S169">
        <v>282</v>
      </c>
      <c r="T169">
        <v>8627</v>
      </c>
      <c r="U169">
        <v>101401</v>
      </c>
      <c r="V169" t="s">
        <v>12</v>
      </c>
    </row>
    <row r="170" spans="1:22" x14ac:dyDescent="0.25">
      <c r="A170" s="3">
        <v>44020</v>
      </c>
      <c r="B170" t="s">
        <v>183</v>
      </c>
      <c r="C170">
        <v>3283344</v>
      </c>
      <c r="D170">
        <v>211802</v>
      </c>
      <c r="E170">
        <v>5319</v>
      </c>
      <c r="F170">
        <v>157503</v>
      </c>
      <c r="G170" s="2">
        <v>0</v>
      </c>
      <c r="H170">
        <v>24</v>
      </c>
      <c r="I170">
        <v>0</v>
      </c>
      <c r="J170">
        <v>0</v>
      </c>
      <c r="K170" t="s">
        <v>28</v>
      </c>
      <c r="L170" t="s">
        <v>266</v>
      </c>
      <c r="M170">
        <v>293</v>
      </c>
      <c r="N170">
        <v>0</v>
      </c>
      <c r="O170">
        <v>260</v>
      </c>
      <c r="P170">
        <v>33</v>
      </c>
      <c r="Q170">
        <v>1</v>
      </c>
      <c r="R170">
        <v>89</v>
      </c>
      <c r="S170">
        <v>0</v>
      </c>
      <c r="T170">
        <v>38334</v>
      </c>
      <c r="U170">
        <v>11675</v>
      </c>
      <c r="V170" t="s">
        <v>293</v>
      </c>
    </row>
    <row r="171" spans="1:22" x14ac:dyDescent="0.25">
      <c r="A171" s="3">
        <v>44021</v>
      </c>
      <c r="B171" t="s">
        <v>184</v>
      </c>
      <c r="C171">
        <v>3551175</v>
      </c>
      <c r="D171">
        <v>228227</v>
      </c>
      <c r="E171">
        <v>5458</v>
      </c>
      <c r="F171">
        <v>134221</v>
      </c>
      <c r="G171" s="2">
        <v>69.45</v>
      </c>
      <c r="H171">
        <v>783</v>
      </c>
      <c r="I171">
        <v>91</v>
      </c>
      <c r="J171">
        <v>11.62</v>
      </c>
      <c r="K171" t="s">
        <v>14</v>
      </c>
      <c r="L171" t="s">
        <v>266</v>
      </c>
      <c r="M171">
        <v>282</v>
      </c>
      <c r="N171">
        <v>0</v>
      </c>
      <c r="O171">
        <v>225</v>
      </c>
      <c r="P171">
        <v>57</v>
      </c>
      <c r="Q171">
        <v>0</v>
      </c>
      <c r="R171">
        <v>79</v>
      </c>
      <c r="S171">
        <v>0</v>
      </c>
      <c r="T171">
        <v>0</v>
      </c>
      <c r="U171">
        <v>0</v>
      </c>
      <c r="V171" t="s">
        <v>14</v>
      </c>
    </row>
    <row r="172" spans="1:22" x14ac:dyDescent="0.25">
      <c r="A172" s="3">
        <v>44022</v>
      </c>
      <c r="B172" t="s">
        <v>185</v>
      </c>
      <c r="C172">
        <v>400131</v>
      </c>
      <c r="D172">
        <v>232577</v>
      </c>
      <c r="E172">
        <v>5311</v>
      </c>
      <c r="F172">
        <v>139017</v>
      </c>
      <c r="G172" s="2">
        <v>86.49</v>
      </c>
      <c r="H172">
        <v>137</v>
      </c>
      <c r="I172">
        <v>11</v>
      </c>
      <c r="J172">
        <v>8.0299999999999994</v>
      </c>
      <c r="K172" t="s">
        <v>18</v>
      </c>
      <c r="L172" t="s">
        <v>266</v>
      </c>
      <c r="M172">
        <v>279</v>
      </c>
      <c r="N172">
        <v>14</v>
      </c>
      <c r="O172">
        <v>179</v>
      </c>
      <c r="P172">
        <v>86</v>
      </c>
      <c r="Q172">
        <v>0</v>
      </c>
      <c r="R172">
        <v>697</v>
      </c>
      <c r="S172">
        <v>35</v>
      </c>
      <c r="T172">
        <v>18476</v>
      </c>
      <c r="U172">
        <v>46175</v>
      </c>
      <c r="V172" t="s">
        <v>291</v>
      </c>
    </row>
    <row r="173" spans="1:22" x14ac:dyDescent="0.25">
      <c r="A173" s="3">
        <v>44023</v>
      </c>
      <c r="B173" t="s">
        <v>186</v>
      </c>
      <c r="C173">
        <v>375235</v>
      </c>
      <c r="D173">
        <v>216328</v>
      </c>
      <c r="E173">
        <v>4897</v>
      </c>
      <c r="F173">
        <v>125457</v>
      </c>
      <c r="G173" s="2">
        <v>79.52</v>
      </c>
      <c r="H173">
        <v>1381</v>
      </c>
      <c r="I173">
        <v>74</v>
      </c>
      <c r="J173">
        <v>5.36</v>
      </c>
      <c r="K173" t="s">
        <v>10</v>
      </c>
      <c r="L173" t="s">
        <v>266</v>
      </c>
      <c r="M173">
        <v>276</v>
      </c>
      <c r="N173">
        <v>15</v>
      </c>
      <c r="O173">
        <v>98</v>
      </c>
      <c r="P173">
        <v>163</v>
      </c>
      <c r="Q173">
        <v>1</v>
      </c>
      <c r="R173">
        <v>736</v>
      </c>
      <c r="S173">
        <v>40</v>
      </c>
      <c r="T173">
        <v>12227</v>
      </c>
      <c r="U173">
        <v>32585</v>
      </c>
      <c r="V173" t="s">
        <v>291</v>
      </c>
    </row>
    <row r="174" spans="1:22" x14ac:dyDescent="0.25">
      <c r="A174" s="3">
        <v>44024</v>
      </c>
      <c r="B174" t="s">
        <v>187</v>
      </c>
      <c r="C174">
        <v>48882</v>
      </c>
      <c r="D174">
        <v>192668</v>
      </c>
      <c r="E174">
        <v>3954</v>
      </c>
      <c r="F174">
        <v>111463</v>
      </c>
      <c r="G174" s="2">
        <v>92.71</v>
      </c>
      <c r="H174">
        <v>220572</v>
      </c>
      <c r="I174">
        <v>6447</v>
      </c>
      <c r="J174">
        <v>2.92</v>
      </c>
      <c r="K174" t="s">
        <v>12</v>
      </c>
      <c r="L174" t="s">
        <v>266</v>
      </c>
      <c r="M174">
        <v>266</v>
      </c>
      <c r="N174">
        <v>0</v>
      </c>
      <c r="O174">
        <v>192</v>
      </c>
      <c r="P174">
        <v>74</v>
      </c>
      <c r="Q174">
        <v>1</v>
      </c>
      <c r="R174">
        <v>5442</v>
      </c>
      <c r="S174">
        <v>0</v>
      </c>
      <c r="T174">
        <v>43045</v>
      </c>
      <c r="U174">
        <v>880590</v>
      </c>
      <c r="V174" t="s">
        <v>12</v>
      </c>
    </row>
    <row r="175" spans="1:22" x14ac:dyDescent="0.25">
      <c r="A175" s="3">
        <v>44025</v>
      </c>
      <c r="B175" t="s">
        <v>188</v>
      </c>
      <c r="C175">
        <v>106812</v>
      </c>
      <c r="D175">
        <v>192779</v>
      </c>
      <c r="E175">
        <v>3815</v>
      </c>
      <c r="F175">
        <v>139965</v>
      </c>
      <c r="G175" s="2">
        <v>30.9</v>
      </c>
      <c r="H175">
        <v>3834677</v>
      </c>
      <c r="I175">
        <v>455582</v>
      </c>
      <c r="J175">
        <v>11.88</v>
      </c>
      <c r="K175" t="s">
        <v>18</v>
      </c>
      <c r="L175" t="s">
        <v>266</v>
      </c>
      <c r="M175">
        <v>263</v>
      </c>
      <c r="N175">
        <v>3</v>
      </c>
      <c r="O175">
        <v>114</v>
      </c>
      <c r="P175">
        <v>146</v>
      </c>
      <c r="Q175">
        <v>0</v>
      </c>
      <c r="R175">
        <v>2462</v>
      </c>
      <c r="S175">
        <v>28</v>
      </c>
      <c r="T175">
        <v>14047</v>
      </c>
      <c r="U175">
        <v>131511</v>
      </c>
      <c r="V175" t="s">
        <v>291</v>
      </c>
    </row>
    <row r="176" spans="1:22" x14ac:dyDescent="0.25">
      <c r="A176" s="3">
        <v>44026</v>
      </c>
      <c r="B176" t="s">
        <v>189</v>
      </c>
      <c r="C176">
        <v>16741375</v>
      </c>
      <c r="D176">
        <v>221452</v>
      </c>
      <c r="E176">
        <v>5660</v>
      </c>
      <c r="F176">
        <v>141758</v>
      </c>
      <c r="G176" s="2">
        <v>87.41</v>
      </c>
      <c r="H176">
        <v>1069</v>
      </c>
      <c r="I176">
        <v>59</v>
      </c>
      <c r="J176">
        <v>5.52</v>
      </c>
      <c r="K176" t="s">
        <v>14</v>
      </c>
      <c r="L176" t="s">
        <v>266</v>
      </c>
      <c r="M176">
        <v>243</v>
      </c>
      <c r="N176">
        <v>0</v>
      </c>
      <c r="O176">
        <v>210</v>
      </c>
      <c r="P176">
        <v>33</v>
      </c>
      <c r="Q176">
        <v>1</v>
      </c>
      <c r="R176">
        <v>15</v>
      </c>
      <c r="S176">
        <v>0</v>
      </c>
      <c r="T176">
        <v>67807</v>
      </c>
      <c r="U176">
        <v>4050</v>
      </c>
      <c r="V176" t="s">
        <v>293</v>
      </c>
    </row>
    <row r="177" spans="1:22" x14ac:dyDescent="0.25">
      <c r="A177" s="3">
        <v>44027</v>
      </c>
      <c r="B177" t="s">
        <v>190</v>
      </c>
      <c r="C177">
        <v>1399950</v>
      </c>
      <c r="D177">
        <v>231122</v>
      </c>
      <c r="E177">
        <v>5493</v>
      </c>
      <c r="F177">
        <v>159423</v>
      </c>
      <c r="G177" s="2">
        <v>55.45</v>
      </c>
      <c r="H177">
        <v>60767</v>
      </c>
      <c r="I177">
        <v>6329</v>
      </c>
      <c r="J177">
        <v>10.42</v>
      </c>
      <c r="K177" t="s">
        <v>12</v>
      </c>
      <c r="L177" t="s">
        <v>266</v>
      </c>
      <c r="M177">
        <v>210</v>
      </c>
      <c r="N177">
        <v>8</v>
      </c>
      <c r="O177">
        <v>135</v>
      </c>
      <c r="P177">
        <v>67</v>
      </c>
      <c r="Q177">
        <v>0</v>
      </c>
      <c r="R177">
        <v>150</v>
      </c>
      <c r="S177">
        <v>6</v>
      </c>
      <c r="T177">
        <v>9559</v>
      </c>
      <c r="U177">
        <v>6828</v>
      </c>
      <c r="V177" t="s">
        <v>291</v>
      </c>
    </row>
    <row r="178" spans="1:22" x14ac:dyDescent="0.25">
      <c r="A178" s="3">
        <v>44028</v>
      </c>
      <c r="B178" t="s">
        <v>191</v>
      </c>
      <c r="C178">
        <v>65798</v>
      </c>
      <c r="D178">
        <v>252544</v>
      </c>
      <c r="E178">
        <v>5799</v>
      </c>
      <c r="F178">
        <v>151921</v>
      </c>
      <c r="G178" s="2">
        <v>88.73</v>
      </c>
      <c r="H178">
        <v>57193</v>
      </c>
      <c r="I178">
        <v>1984</v>
      </c>
      <c r="J178">
        <v>3.47</v>
      </c>
      <c r="K178" t="s">
        <v>10</v>
      </c>
      <c r="L178" t="s">
        <v>266</v>
      </c>
      <c r="M178">
        <v>203</v>
      </c>
      <c r="N178">
        <v>1</v>
      </c>
      <c r="O178">
        <v>202</v>
      </c>
      <c r="P178">
        <v>0</v>
      </c>
      <c r="Q178">
        <v>0</v>
      </c>
      <c r="R178">
        <v>3085</v>
      </c>
      <c r="S178">
        <v>15</v>
      </c>
      <c r="T178">
        <v>31108</v>
      </c>
      <c r="U178">
        <v>472780</v>
      </c>
      <c r="V178" t="s">
        <v>291</v>
      </c>
    </row>
    <row r="179" spans="1:22" x14ac:dyDescent="0.25">
      <c r="A179" s="3">
        <v>44029</v>
      </c>
      <c r="B179" t="s">
        <v>192</v>
      </c>
      <c r="C179">
        <v>33690</v>
      </c>
      <c r="D179">
        <v>242038</v>
      </c>
      <c r="E179">
        <v>6743</v>
      </c>
      <c r="F179">
        <v>159519</v>
      </c>
      <c r="G179" s="2">
        <v>0.48</v>
      </c>
      <c r="H179">
        <v>296944</v>
      </c>
      <c r="I179">
        <v>4764</v>
      </c>
      <c r="J179">
        <v>1.6</v>
      </c>
      <c r="K179" t="s">
        <v>12</v>
      </c>
      <c r="L179" t="s">
        <v>266</v>
      </c>
      <c r="M179">
        <v>190</v>
      </c>
      <c r="N179">
        <v>0</v>
      </c>
      <c r="O179">
        <v>184</v>
      </c>
      <c r="P179">
        <v>6</v>
      </c>
      <c r="Q179">
        <v>0</v>
      </c>
      <c r="R179">
        <v>5640</v>
      </c>
      <c r="S179">
        <v>0</v>
      </c>
      <c r="T179">
        <v>23063</v>
      </c>
      <c r="U179">
        <v>684565</v>
      </c>
      <c r="V179" t="s">
        <v>12</v>
      </c>
    </row>
    <row r="180" spans="1:22" x14ac:dyDescent="0.25">
      <c r="A180" s="3">
        <v>44030</v>
      </c>
      <c r="B180" t="s">
        <v>193</v>
      </c>
      <c r="C180">
        <v>8963009</v>
      </c>
      <c r="D180">
        <v>237635</v>
      </c>
      <c r="E180">
        <v>5627</v>
      </c>
      <c r="F180">
        <v>150790</v>
      </c>
      <c r="G180" s="2">
        <v>79.12</v>
      </c>
      <c r="H180">
        <v>1064</v>
      </c>
      <c r="I180">
        <v>138</v>
      </c>
      <c r="J180">
        <v>12.97</v>
      </c>
      <c r="K180" t="s">
        <v>18</v>
      </c>
      <c r="L180" t="s">
        <v>266</v>
      </c>
      <c r="M180">
        <v>163</v>
      </c>
      <c r="N180">
        <v>3</v>
      </c>
      <c r="O180">
        <v>53</v>
      </c>
      <c r="P180">
        <v>107</v>
      </c>
      <c r="Q180">
        <v>0</v>
      </c>
      <c r="R180">
        <v>18</v>
      </c>
      <c r="S180">
        <v>0.3</v>
      </c>
      <c r="T180">
        <v>10808</v>
      </c>
      <c r="U180">
        <v>1206</v>
      </c>
      <c r="V180" t="s">
        <v>294</v>
      </c>
    </row>
    <row r="181" spans="1:22" x14ac:dyDescent="0.25">
      <c r="A181" s="3">
        <v>44031</v>
      </c>
      <c r="B181" t="s">
        <v>194</v>
      </c>
      <c r="C181">
        <v>42924</v>
      </c>
      <c r="D181">
        <v>214647</v>
      </c>
      <c r="E181">
        <v>4029</v>
      </c>
      <c r="F181">
        <v>87685</v>
      </c>
      <c r="G181" s="2">
        <v>55.04</v>
      </c>
      <c r="H181">
        <v>17149</v>
      </c>
      <c r="I181">
        <v>4060</v>
      </c>
      <c r="J181">
        <v>23.67</v>
      </c>
      <c r="K181" t="s">
        <v>12</v>
      </c>
      <c r="L181" t="s">
        <v>266</v>
      </c>
      <c r="M181">
        <v>160</v>
      </c>
      <c r="N181">
        <v>16</v>
      </c>
      <c r="O181">
        <v>64</v>
      </c>
      <c r="P181">
        <v>80</v>
      </c>
      <c r="Q181">
        <v>3</v>
      </c>
      <c r="R181">
        <v>3728</v>
      </c>
      <c r="S181">
        <v>373</v>
      </c>
      <c r="T181">
        <v>1115</v>
      </c>
      <c r="U181">
        <v>25976</v>
      </c>
      <c r="V181" t="s">
        <v>291</v>
      </c>
    </row>
    <row r="182" spans="1:22" x14ac:dyDescent="0.25">
      <c r="A182" s="3">
        <v>44032</v>
      </c>
      <c r="B182" t="s">
        <v>195</v>
      </c>
      <c r="C182">
        <v>62254</v>
      </c>
      <c r="D182">
        <v>206778</v>
      </c>
      <c r="E182">
        <v>4160</v>
      </c>
      <c r="F182">
        <v>158542</v>
      </c>
      <c r="G182" s="2">
        <v>62.29</v>
      </c>
      <c r="H182">
        <v>12334</v>
      </c>
      <c r="I182">
        <v>3654</v>
      </c>
      <c r="J182">
        <v>29.63</v>
      </c>
      <c r="K182" t="s">
        <v>18</v>
      </c>
      <c r="L182" t="s">
        <v>266</v>
      </c>
      <c r="M182">
        <v>157</v>
      </c>
      <c r="N182">
        <v>9</v>
      </c>
      <c r="O182">
        <v>144</v>
      </c>
      <c r="P182">
        <v>4</v>
      </c>
      <c r="Q182">
        <v>0</v>
      </c>
      <c r="R182">
        <v>2522</v>
      </c>
      <c r="S182">
        <v>145</v>
      </c>
      <c r="T182">
        <v>26352</v>
      </c>
      <c r="U182">
        <v>423298</v>
      </c>
      <c r="V182" t="s">
        <v>291</v>
      </c>
    </row>
    <row r="183" spans="1:22" x14ac:dyDescent="0.25">
      <c r="A183" s="3">
        <v>44033</v>
      </c>
      <c r="B183" t="s">
        <v>196</v>
      </c>
      <c r="C183">
        <v>437893</v>
      </c>
      <c r="D183">
        <v>233565</v>
      </c>
      <c r="E183">
        <v>6238</v>
      </c>
      <c r="F183">
        <v>174209</v>
      </c>
      <c r="G183" s="2">
        <v>84.69</v>
      </c>
      <c r="H183">
        <v>384</v>
      </c>
      <c r="I183">
        <v>47</v>
      </c>
      <c r="J183">
        <v>12.24</v>
      </c>
      <c r="K183" t="s">
        <v>22</v>
      </c>
      <c r="L183" t="s">
        <v>266</v>
      </c>
      <c r="M183">
        <v>141</v>
      </c>
      <c r="N183">
        <v>3</v>
      </c>
      <c r="O183">
        <v>138</v>
      </c>
      <c r="P183">
        <v>0</v>
      </c>
      <c r="Q183">
        <v>0</v>
      </c>
      <c r="R183">
        <v>322</v>
      </c>
      <c r="S183">
        <v>7</v>
      </c>
      <c r="T183">
        <v>41148</v>
      </c>
      <c r="U183">
        <v>93968</v>
      </c>
      <c r="V183" t="s">
        <v>293</v>
      </c>
    </row>
    <row r="184" spans="1:22" x14ac:dyDescent="0.25">
      <c r="A184" s="3">
        <v>44034</v>
      </c>
      <c r="B184" t="s">
        <v>197</v>
      </c>
      <c r="C184">
        <v>287411</v>
      </c>
      <c r="D184">
        <v>280647</v>
      </c>
      <c r="E184">
        <v>6983</v>
      </c>
      <c r="F184">
        <v>176269</v>
      </c>
      <c r="G184" s="2">
        <v>35.33</v>
      </c>
      <c r="H184">
        <v>8916</v>
      </c>
      <c r="I184">
        <v>1705</v>
      </c>
      <c r="J184">
        <v>19.12</v>
      </c>
      <c r="K184" t="s">
        <v>10</v>
      </c>
      <c r="L184" t="s">
        <v>266</v>
      </c>
      <c r="M184">
        <v>133</v>
      </c>
      <c r="N184">
        <v>7</v>
      </c>
      <c r="O184">
        <v>100</v>
      </c>
      <c r="P184">
        <v>26</v>
      </c>
      <c r="Q184">
        <v>0</v>
      </c>
      <c r="R184">
        <v>463</v>
      </c>
      <c r="S184">
        <v>24</v>
      </c>
      <c r="T184">
        <v>12233</v>
      </c>
      <c r="U184">
        <v>42563</v>
      </c>
      <c r="V184" t="s">
        <v>291</v>
      </c>
    </row>
    <row r="185" spans="1:22" x14ac:dyDescent="0.25">
      <c r="A185" s="3">
        <v>44035</v>
      </c>
      <c r="B185" t="s">
        <v>198</v>
      </c>
      <c r="C185">
        <v>38768</v>
      </c>
      <c r="D185">
        <v>282756</v>
      </c>
      <c r="E185">
        <v>9966</v>
      </c>
      <c r="F185">
        <v>169714</v>
      </c>
      <c r="G185" s="2">
        <v>80</v>
      </c>
      <c r="H185">
        <v>10</v>
      </c>
      <c r="I185">
        <v>0</v>
      </c>
      <c r="J185">
        <v>0</v>
      </c>
      <c r="K185" t="s">
        <v>14</v>
      </c>
      <c r="L185" t="s">
        <v>266</v>
      </c>
      <c r="M185">
        <v>129</v>
      </c>
      <c r="N185">
        <v>2</v>
      </c>
      <c r="O185">
        <v>39</v>
      </c>
      <c r="P185">
        <v>88</v>
      </c>
      <c r="Q185">
        <v>3</v>
      </c>
      <c r="R185">
        <v>3327</v>
      </c>
      <c r="S185">
        <v>52</v>
      </c>
      <c r="T185">
        <v>1252</v>
      </c>
      <c r="U185">
        <v>32295</v>
      </c>
      <c r="V185" t="s">
        <v>291</v>
      </c>
    </row>
    <row r="186" spans="1:22" x14ac:dyDescent="0.25">
      <c r="A186" s="3">
        <v>44036</v>
      </c>
      <c r="B186" t="s">
        <v>199</v>
      </c>
      <c r="C186">
        <v>98408</v>
      </c>
      <c r="D186">
        <v>281164</v>
      </c>
      <c r="E186">
        <v>6144</v>
      </c>
      <c r="F186">
        <v>228736</v>
      </c>
      <c r="G186" s="2">
        <v>49.26</v>
      </c>
      <c r="H186">
        <v>1619</v>
      </c>
      <c r="I186">
        <v>72</v>
      </c>
      <c r="J186">
        <v>4.45</v>
      </c>
      <c r="K186" t="s">
        <v>10</v>
      </c>
      <c r="L186" t="s">
        <v>266</v>
      </c>
      <c r="M186">
        <v>126</v>
      </c>
      <c r="N186">
        <v>0</v>
      </c>
      <c r="O186">
        <v>124</v>
      </c>
      <c r="P186">
        <v>2</v>
      </c>
      <c r="Q186">
        <v>0</v>
      </c>
      <c r="R186">
        <v>1280</v>
      </c>
      <c r="S186">
        <v>0</v>
      </c>
      <c r="T186">
        <v>0</v>
      </c>
      <c r="U186">
        <v>0</v>
      </c>
      <c r="V186" t="s">
        <v>14</v>
      </c>
    </row>
    <row r="187" spans="1:22" x14ac:dyDescent="0.25">
      <c r="A187" s="3">
        <v>44037</v>
      </c>
      <c r="B187" t="s">
        <v>200</v>
      </c>
      <c r="C187">
        <v>39270</v>
      </c>
      <c r="D187">
        <v>255545</v>
      </c>
      <c r="E187">
        <v>4867</v>
      </c>
      <c r="F187">
        <v>219038</v>
      </c>
      <c r="G187" s="2">
        <v>61.84</v>
      </c>
      <c r="H187">
        <v>3326</v>
      </c>
      <c r="I187">
        <v>1226</v>
      </c>
      <c r="J187">
        <v>36.86</v>
      </c>
      <c r="K187" t="s">
        <v>14</v>
      </c>
      <c r="L187" t="s">
        <v>266</v>
      </c>
      <c r="M187">
        <v>125</v>
      </c>
      <c r="N187">
        <v>4</v>
      </c>
      <c r="O187">
        <v>105</v>
      </c>
      <c r="P187">
        <v>16</v>
      </c>
      <c r="Q187">
        <v>2</v>
      </c>
      <c r="R187">
        <v>3183</v>
      </c>
      <c r="S187">
        <v>102</v>
      </c>
      <c r="T187">
        <v>38209</v>
      </c>
      <c r="U187">
        <v>972982</v>
      </c>
      <c r="V187" t="s">
        <v>12</v>
      </c>
    </row>
    <row r="188" spans="1:22" x14ac:dyDescent="0.25">
      <c r="A188" s="3">
        <v>44038</v>
      </c>
      <c r="B188" t="s">
        <v>201</v>
      </c>
      <c r="C188">
        <v>772443</v>
      </c>
      <c r="D188">
        <v>204606</v>
      </c>
      <c r="E188">
        <v>4104</v>
      </c>
      <c r="F188">
        <v>134721</v>
      </c>
      <c r="G188" s="2">
        <v>20.04</v>
      </c>
      <c r="H188">
        <v>1713</v>
      </c>
      <c r="I188">
        <v>991</v>
      </c>
      <c r="J188">
        <v>57.85</v>
      </c>
      <c r="K188" t="s">
        <v>14</v>
      </c>
      <c r="L188" t="s">
        <v>266</v>
      </c>
      <c r="M188">
        <v>105</v>
      </c>
      <c r="N188">
        <v>0</v>
      </c>
      <c r="O188">
        <v>93</v>
      </c>
      <c r="P188">
        <v>12</v>
      </c>
      <c r="Q188">
        <v>0</v>
      </c>
      <c r="R188">
        <v>136</v>
      </c>
      <c r="S188">
        <v>0</v>
      </c>
      <c r="T188">
        <v>54589</v>
      </c>
      <c r="U188">
        <v>70671</v>
      </c>
      <c r="V188" t="s">
        <v>293</v>
      </c>
    </row>
    <row r="189" spans="1:22" x14ac:dyDescent="0.25">
      <c r="A189" s="3">
        <v>44039</v>
      </c>
      <c r="C189">
        <v>98010</v>
      </c>
      <c r="D189">
        <v>228693</v>
      </c>
      <c r="E189">
        <v>5415</v>
      </c>
      <c r="F189">
        <v>174623</v>
      </c>
      <c r="L189" t="s">
        <v>266</v>
      </c>
      <c r="M189">
        <v>92</v>
      </c>
      <c r="N189">
        <v>3</v>
      </c>
      <c r="O189">
        <v>76</v>
      </c>
      <c r="P189">
        <v>13</v>
      </c>
      <c r="Q189">
        <v>1</v>
      </c>
      <c r="R189">
        <v>939</v>
      </c>
      <c r="S189">
        <v>31</v>
      </c>
      <c r="T189">
        <v>1500</v>
      </c>
      <c r="U189">
        <v>15305</v>
      </c>
      <c r="V189" t="s">
        <v>291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26DFF-AE0E-4E56-B99C-165FCDE3ADB5}">
  <dimension ref="A2:AD36"/>
  <sheetViews>
    <sheetView topLeftCell="A6" workbookViewId="0">
      <selection activeCell="D24" sqref="D24"/>
    </sheetView>
  </sheetViews>
  <sheetFormatPr defaultRowHeight="15" x14ac:dyDescent="0.25"/>
  <cols>
    <col min="1" max="1" width="17.28515625" bestFit="1" customWidth="1"/>
    <col min="2" max="2" width="16.7109375" bestFit="1" customWidth="1"/>
    <col min="4" max="5" width="18.42578125" bestFit="1" customWidth="1"/>
    <col min="7" max="7" width="13.140625" bestFit="1" customWidth="1"/>
    <col min="8" max="8" width="17" bestFit="1" customWidth="1"/>
    <col min="12" max="12" width="13.140625" bestFit="1" customWidth="1"/>
    <col min="13" max="14" width="18.42578125" bestFit="1" customWidth="1"/>
    <col min="16" max="16" width="13.140625" bestFit="1" customWidth="1"/>
    <col min="17" max="18" width="25.5703125" bestFit="1" customWidth="1"/>
    <col min="19" max="19" width="13.140625" bestFit="1" customWidth="1"/>
    <col min="20" max="21" width="21.7109375" bestFit="1" customWidth="1"/>
    <col min="22" max="24" width="20" bestFit="1" customWidth="1"/>
    <col min="25" max="25" width="21.7109375" bestFit="1" customWidth="1"/>
    <col min="26" max="27" width="18.42578125" bestFit="1" customWidth="1"/>
    <col min="30" max="30" width="16.7109375" bestFit="1" customWidth="1"/>
    <col min="31" max="31" width="18.42578125" bestFit="1" customWidth="1"/>
  </cols>
  <sheetData>
    <row r="2" spans="1:30" x14ac:dyDescent="0.25">
      <c r="A2" s="7">
        <f>GETPIVOTDATA("TotalCases",$A$3)</f>
        <v>19168488</v>
      </c>
      <c r="D2" s="7">
        <f>GETPIVOTDATA("TotalDeaths",$D$3)</f>
        <v>712997</v>
      </c>
      <c r="AD2" s="7">
        <f>GETPIVOTDATA("TotalTests",$AD$3)</f>
        <v>267768109</v>
      </c>
    </row>
    <row r="3" spans="1:30" x14ac:dyDescent="0.25">
      <c r="A3" t="s">
        <v>309</v>
      </c>
      <c r="D3" t="s">
        <v>302</v>
      </c>
      <c r="G3" s="5" t="s">
        <v>298</v>
      </c>
      <c r="H3" t="s">
        <v>308</v>
      </c>
      <c r="L3" s="5" t="s">
        <v>298</v>
      </c>
      <c r="M3" t="s">
        <v>301</v>
      </c>
      <c r="P3" s="5" t="s">
        <v>298</v>
      </c>
      <c r="Q3" t="s">
        <v>305</v>
      </c>
      <c r="S3" s="5" t="s">
        <v>298</v>
      </c>
      <c r="T3" t="s">
        <v>299</v>
      </c>
      <c r="V3" s="5" t="s">
        <v>298</v>
      </c>
      <c r="W3" t="s">
        <v>307</v>
      </c>
      <c r="Y3" s="5" t="s">
        <v>298</v>
      </c>
      <c r="Z3" t="s">
        <v>302</v>
      </c>
      <c r="AD3" t="s">
        <v>306</v>
      </c>
    </row>
    <row r="4" spans="1:30" x14ac:dyDescent="0.25">
      <c r="A4">
        <v>19168488</v>
      </c>
      <c r="D4">
        <v>712997</v>
      </c>
      <c r="G4" s="6" t="s">
        <v>310</v>
      </c>
      <c r="H4">
        <v>9372</v>
      </c>
      <c r="L4" s="6" t="s">
        <v>310</v>
      </c>
      <c r="M4">
        <v>196</v>
      </c>
      <c r="P4" s="6" t="s">
        <v>9</v>
      </c>
      <c r="Q4">
        <v>15194</v>
      </c>
      <c r="S4" s="6" t="s">
        <v>9</v>
      </c>
      <c r="T4">
        <v>492</v>
      </c>
      <c r="V4" s="6" t="s">
        <v>53</v>
      </c>
      <c r="W4">
        <v>531470</v>
      </c>
      <c r="Y4" s="6" t="s">
        <v>14</v>
      </c>
      <c r="Z4">
        <v>100159</v>
      </c>
      <c r="AD4">
        <v>267768109</v>
      </c>
    </row>
    <row r="5" spans="1:30" x14ac:dyDescent="0.25">
      <c r="G5" s="6" t="s">
        <v>311</v>
      </c>
      <c r="H5">
        <v>75379</v>
      </c>
      <c r="L5" s="6" t="s">
        <v>311</v>
      </c>
      <c r="M5">
        <v>2723</v>
      </c>
      <c r="P5" s="6" t="s">
        <v>19</v>
      </c>
      <c r="Q5">
        <v>13793</v>
      </c>
      <c r="S5" s="6" t="s">
        <v>19</v>
      </c>
      <c r="T5">
        <v>619</v>
      </c>
      <c r="V5" s="6" t="s">
        <v>62</v>
      </c>
      <c r="W5">
        <v>513691</v>
      </c>
      <c r="Y5" s="6" t="s">
        <v>18</v>
      </c>
      <c r="Z5">
        <v>160371</v>
      </c>
    </row>
    <row r="6" spans="1:30" x14ac:dyDescent="0.25">
      <c r="G6" s="6" t="s">
        <v>312</v>
      </c>
      <c r="H6">
        <v>786064</v>
      </c>
      <c r="L6" s="6" t="s">
        <v>312</v>
      </c>
      <c r="M6">
        <v>41542</v>
      </c>
      <c r="P6" s="6" t="s">
        <v>20</v>
      </c>
      <c r="Q6">
        <v>19165</v>
      </c>
      <c r="S6" s="6" t="s">
        <v>20</v>
      </c>
      <c r="T6">
        <v>517</v>
      </c>
      <c r="V6" s="6" t="s">
        <v>106</v>
      </c>
      <c r="W6">
        <v>995282</v>
      </c>
      <c r="Y6" s="6" t="s">
        <v>10</v>
      </c>
      <c r="Z6">
        <v>169507</v>
      </c>
    </row>
    <row r="7" spans="1:30" x14ac:dyDescent="0.25">
      <c r="G7" s="6" t="s">
        <v>313</v>
      </c>
      <c r="H7">
        <v>2412383</v>
      </c>
      <c r="L7" s="6" t="s">
        <v>313</v>
      </c>
      <c r="M7">
        <v>190226</v>
      </c>
      <c r="P7" s="6" t="s">
        <v>39</v>
      </c>
      <c r="Q7">
        <v>39922</v>
      </c>
      <c r="S7" s="6" t="s">
        <v>23</v>
      </c>
      <c r="T7">
        <v>610</v>
      </c>
      <c r="V7" s="6" t="s">
        <v>144</v>
      </c>
      <c r="W7">
        <v>438385</v>
      </c>
      <c r="Y7" s="6" t="s">
        <v>12</v>
      </c>
      <c r="Z7">
        <v>225320</v>
      </c>
    </row>
    <row r="8" spans="1:30" x14ac:dyDescent="0.25">
      <c r="G8" s="6" t="s">
        <v>314</v>
      </c>
      <c r="H8">
        <v>2921042</v>
      </c>
      <c r="L8" s="6" t="s">
        <v>314</v>
      </c>
      <c r="M8">
        <v>138902</v>
      </c>
      <c r="P8" s="6" t="s">
        <v>45</v>
      </c>
      <c r="Q8">
        <v>15769</v>
      </c>
      <c r="S8" s="6" t="s">
        <v>25</v>
      </c>
      <c r="T8">
        <v>683</v>
      </c>
      <c r="V8" s="6" t="s">
        <v>162</v>
      </c>
      <c r="W8">
        <v>309541</v>
      </c>
      <c r="Y8" s="6" t="s">
        <v>28</v>
      </c>
      <c r="Z8">
        <v>43145</v>
      </c>
    </row>
    <row r="9" spans="1:30" x14ac:dyDescent="0.25">
      <c r="G9" s="6" t="s">
        <v>315</v>
      </c>
      <c r="H9">
        <v>4265801</v>
      </c>
      <c r="L9" s="6" t="s">
        <v>315</v>
      </c>
      <c r="M9">
        <v>137604</v>
      </c>
      <c r="P9" s="6" t="s">
        <v>49</v>
      </c>
      <c r="Q9">
        <v>16527</v>
      </c>
      <c r="S9" s="6" t="s">
        <v>30</v>
      </c>
      <c r="T9">
        <v>582</v>
      </c>
      <c r="V9" s="6" t="s">
        <v>187</v>
      </c>
      <c r="W9">
        <v>880590</v>
      </c>
      <c r="Y9" s="6" t="s">
        <v>22</v>
      </c>
      <c r="Z9">
        <v>14495</v>
      </c>
    </row>
    <row r="10" spans="1:30" x14ac:dyDescent="0.25">
      <c r="A10" s="7">
        <f>GETPIVOTDATA("TotalRecovered",$A$11)</f>
        <v>12069624</v>
      </c>
      <c r="G10" s="6" t="s">
        <v>316</v>
      </c>
      <c r="H10">
        <v>6030911</v>
      </c>
      <c r="L10" s="6" t="s">
        <v>316</v>
      </c>
      <c r="M10">
        <v>142826</v>
      </c>
      <c r="P10" s="6" t="s">
        <v>51</v>
      </c>
      <c r="Q10">
        <v>16378</v>
      </c>
      <c r="S10" s="6" t="s">
        <v>44</v>
      </c>
      <c r="T10">
        <v>571</v>
      </c>
      <c r="V10" s="6" t="s">
        <v>191</v>
      </c>
      <c r="W10">
        <v>472780</v>
      </c>
      <c r="Y10" s="6" t="s">
        <v>300</v>
      </c>
      <c r="Z10">
        <v>712997</v>
      </c>
    </row>
    <row r="11" spans="1:30" x14ac:dyDescent="0.25">
      <c r="A11" t="s">
        <v>303</v>
      </c>
      <c r="G11" s="6" t="s">
        <v>300</v>
      </c>
      <c r="H11">
        <v>16500952</v>
      </c>
      <c r="L11" s="6" t="s">
        <v>300</v>
      </c>
      <c r="M11">
        <v>654019</v>
      </c>
      <c r="P11" s="6" t="s">
        <v>62</v>
      </c>
      <c r="Q11">
        <v>25130</v>
      </c>
      <c r="S11" s="6" t="s">
        <v>50</v>
      </c>
      <c r="T11">
        <v>850</v>
      </c>
      <c r="V11" s="6" t="s">
        <v>192</v>
      </c>
      <c r="W11">
        <v>684565</v>
      </c>
    </row>
    <row r="12" spans="1:30" x14ac:dyDescent="0.25">
      <c r="A12">
        <v>12069624</v>
      </c>
      <c r="P12" s="6" t="s">
        <v>99</v>
      </c>
      <c r="Q12">
        <v>27146</v>
      </c>
      <c r="S12" s="6" t="s">
        <v>163</v>
      </c>
      <c r="T12">
        <v>673</v>
      </c>
      <c r="V12" s="6" t="s">
        <v>195</v>
      </c>
      <c r="W12">
        <v>423298</v>
      </c>
    </row>
    <row r="13" spans="1:30" x14ac:dyDescent="0.25">
      <c r="D13" s="7">
        <f>GETPIVOTDATA("ActiveCases",$D$14)</f>
        <v>5824502</v>
      </c>
      <c r="P13" s="6" t="s">
        <v>172</v>
      </c>
      <c r="Q13">
        <v>20596</v>
      </c>
      <c r="S13" s="6" t="s">
        <v>172</v>
      </c>
      <c r="T13">
        <v>1238</v>
      </c>
      <c r="V13" s="6" t="s">
        <v>200</v>
      </c>
      <c r="W13">
        <v>972982</v>
      </c>
    </row>
    <row r="14" spans="1:30" x14ac:dyDescent="0.25">
      <c r="D14" t="s">
        <v>304</v>
      </c>
      <c r="P14" s="6" t="s">
        <v>300</v>
      </c>
      <c r="Q14">
        <v>209620</v>
      </c>
      <c r="S14" s="6" t="s">
        <v>300</v>
      </c>
      <c r="T14">
        <v>6835</v>
      </c>
      <c r="V14" s="6" t="s">
        <v>300</v>
      </c>
      <c r="W14">
        <v>6222584</v>
      </c>
    </row>
    <row r="15" spans="1:30" x14ac:dyDescent="0.25">
      <c r="D15">
        <v>5824502</v>
      </c>
    </row>
    <row r="18" spans="1:3" x14ac:dyDescent="0.25">
      <c r="A18" s="7"/>
    </row>
    <row r="19" spans="1:3" x14ac:dyDescent="0.25">
      <c r="A19" s="8"/>
      <c r="B19" s="9"/>
      <c r="C19" s="10"/>
    </row>
    <row r="20" spans="1:3" x14ac:dyDescent="0.25">
      <c r="A20" s="11"/>
      <c r="B20" s="12"/>
      <c r="C20" s="13"/>
    </row>
    <row r="21" spans="1:3" x14ac:dyDescent="0.25">
      <c r="A21" s="11"/>
      <c r="B21" s="12"/>
      <c r="C21" s="13"/>
    </row>
    <row r="22" spans="1:3" x14ac:dyDescent="0.25">
      <c r="A22" s="11"/>
      <c r="B22" s="12"/>
      <c r="C22" s="13"/>
    </row>
    <row r="23" spans="1:3" x14ac:dyDescent="0.25">
      <c r="A23" s="11"/>
      <c r="B23" s="12"/>
      <c r="C23" s="13"/>
    </row>
    <row r="24" spans="1:3" x14ac:dyDescent="0.25">
      <c r="A24" s="11"/>
      <c r="B24" s="12"/>
      <c r="C24" s="13"/>
    </row>
    <row r="25" spans="1:3" x14ac:dyDescent="0.25">
      <c r="A25" s="11"/>
      <c r="B25" s="12"/>
      <c r="C25" s="13"/>
    </row>
    <row r="26" spans="1:3" x14ac:dyDescent="0.25">
      <c r="A26" s="11"/>
      <c r="B26" s="12"/>
      <c r="C26" s="13"/>
    </row>
    <row r="27" spans="1:3" x14ac:dyDescent="0.25">
      <c r="A27" s="11"/>
      <c r="B27" s="12"/>
      <c r="C27" s="13"/>
    </row>
    <row r="28" spans="1:3" x14ac:dyDescent="0.25">
      <c r="A28" s="11"/>
      <c r="B28" s="12"/>
      <c r="C28" s="13"/>
    </row>
    <row r="29" spans="1:3" x14ac:dyDescent="0.25">
      <c r="A29" s="11"/>
      <c r="B29" s="12"/>
      <c r="C29" s="13"/>
    </row>
    <row r="30" spans="1:3" x14ac:dyDescent="0.25">
      <c r="A30" s="11"/>
      <c r="B30" s="12"/>
      <c r="C30" s="13"/>
    </row>
    <row r="31" spans="1:3" x14ac:dyDescent="0.25">
      <c r="A31" s="11"/>
      <c r="B31" s="12"/>
      <c r="C31" s="13"/>
    </row>
    <row r="32" spans="1:3" x14ac:dyDescent="0.25">
      <c r="A32" s="11"/>
      <c r="B32" s="12"/>
      <c r="C32" s="13"/>
    </row>
    <row r="33" spans="1:3" x14ac:dyDescent="0.25">
      <c r="A33" s="11"/>
      <c r="B33" s="12"/>
      <c r="C33" s="13"/>
    </row>
    <row r="34" spans="1:3" x14ac:dyDescent="0.25">
      <c r="A34" s="11"/>
      <c r="B34" s="12"/>
      <c r="C34" s="13"/>
    </row>
    <row r="35" spans="1:3" x14ac:dyDescent="0.25">
      <c r="A35" s="11"/>
      <c r="B35" s="12"/>
      <c r="C35" s="13"/>
    </row>
    <row r="36" spans="1:3" x14ac:dyDescent="0.25">
      <c r="A36" s="14"/>
      <c r="B36" s="15"/>
      <c r="C36" s="16"/>
    </row>
  </sheetData>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8E432-831A-4B57-9C60-B31019334C34}">
  <dimension ref="A1:P189"/>
  <sheetViews>
    <sheetView topLeftCell="A181" workbookViewId="0">
      <selection activeCell="E14" sqref="E14"/>
    </sheetView>
  </sheetViews>
  <sheetFormatPr defaultRowHeight="15" x14ac:dyDescent="0.25"/>
  <cols>
    <col min="1" max="1" width="9.7109375" bestFit="1" customWidth="1"/>
    <col min="2" max="2" width="31.140625" bestFit="1" customWidth="1"/>
    <col min="3" max="3" width="11" bestFit="1" customWidth="1"/>
    <col min="4" max="4" width="10.28515625" bestFit="1" customWidth="1"/>
    <col min="5" max="5" width="11.5703125" bestFit="1" customWidth="1"/>
    <col min="6" max="6" width="21.7109375" bestFit="1" customWidth="1"/>
    <col min="7" max="7" width="10.42578125" bestFit="1" customWidth="1"/>
    <col min="8" max="8" width="11.5703125" bestFit="1" customWidth="1"/>
    <col min="9" max="9" width="15" bestFit="1" customWidth="1"/>
    <col min="10" max="10" width="11.5703125" bestFit="1" customWidth="1"/>
    <col min="11" max="11" width="14.42578125" bestFit="1" customWidth="1"/>
    <col min="12" max="12" width="18.7109375" bestFit="1" customWidth="1"/>
    <col min="13" max="13" width="14.85546875" bestFit="1" customWidth="1"/>
    <col min="14" max="14" width="10" bestFit="1" customWidth="1"/>
    <col min="15" max="15" width="13.28515625" bestFit="1" customWidth="1"/>
    <col min="16" max="16" width="17" bestFit="1" customWidth="1"/>
  </cols>
  <sheetData>
    <row r="1" spans="1:16" ht="15.75" x14ac:dyDescent="0.25">
      <c r="A1" s="4" t="s">
        <v>280</v>
      </c>
      <c r="B1" s="1" t="s">
        <v>0</v>
      </c>
      <c r="C1" s="4" t="s">
        <v>282</v>
      </c>
      <c r="D1" s="4" t="s">
        <v>1</v>
      </c>
      <c r="E1" s="4" t="s">
        <v>2</v>
      </c>
      <c r="F1" s="1" t="s">
        <v>8</v>
      </c>
      <c r="G1" s="4" t="s">
        <v>283</v>
      </c>
      <c r="H1" s="4" t="s">
        <v>284</v>
      </c>
      <c r="I1" s="4" t="s">
        <v>285</v>
      </c>
      <c r="J1" s="4" t="s">
        <v>286</v>
      </c>
      <c r="K1" s="4" t="s">
        <v>287</v>
      </c>
      <c r="L1" s="4" t="s">
        <v>296</v>
      </c>
      <c r="M1" s="4" t="s">
        <v>288</v>
      </c>
      <c r="N1" s="4" t="s">
        <v>289</v>
      </c>
      <c r="O1" s="4" t="s">
        <v>290</v>
      </c>
      <c r="P1" s="4" t="s">
        <v>281</v>
      </c>
    </row>
    <row r="2" spans="1:16" x14ac:dyDescent="0.25">
      <c r="A2" s="3">
        <v>43852</v>
      </c>
      <c r="B2" t="s">
        <v>9</v>
      </c>
      <c r="C2">
        <v>331198130</v>
      </c>
      <c r="D2">
        <v>0</v>
      </c>
      <c r="E2">
        <v>0</v>
      </c>
      <c r="F2" t="s">
        <v>10</v>
      </c>
      <c r="G2">
        <v>5032179</v>
      </c>
      <c r="H2">
        <v>162804</v>
      </c>
      <c r="I2">
        <v>2576668</v>
      </c>
      <c r="J2">
        <v>2292707</v>
      </c>
      <c r="K2">
        <v>18296</v>
      </c>
      <c r="L2">
        <v>15194</v>
      </c>
      <c r="M2">
        <v>492</v>
      </c>
      <c r="N2">
        <v>63139605</v>
      </c>
      <c r="O2">
        <v>190640</v>
      </c>
      <c r="P2" t="s">
        <v>291</v>
      </c>
    </row>
    <row r="3" spans="1:16" x14ac:dyDescent="0.25">
      <c r="A3" s="3">
        <v>43853</v>
      </c>
      <c r="B3" t="s">
        <v>11</v>
      </c>
      <c r="C3">
        <v>212710692</v>
      </c>
      <c r="D3">
        <v>99</v>
      </c>
      <c r="E3">
        <v>1</v>
      </c>
      <c r="F3" t="s">
        <v>12</v>
      </c>
      <c r="G3">
        <v>2917562</v>
      </c>
      <c r="H3">
        <v>98644</v>
      </c>
      <c r="I3">
        <v>2047660</v>
      </c>
      <c r="J3">
        <v>771258</v>
      </c>
      <c r="K3">
        <v>8318</v>
      </c>
      <c r="L3">
        <v>13716</v>
      </c>
      <c r="M3">
        <v>464</v>
      </c>
      <c r="N3">
        <v>13206188</v>
      </c>
      <c r="O3">
        <v>62085</v>
      </c>
      <c r="P3" t="s">
        <v>292</v>
      </c>
    </row>
    <row r="4" spans="1:16" x14ac:dyDescent="0.25">
      <c r="A4" s="3">
        <v>43854</v>
      </c>
      <c r="B4" t="s">
        <v>13</v>
      </c>
      <c r="C4">
        <v>1381344997</v>
      </c>
      <c r="D4">
        <v>287</v>
      </c>
      <c r="E4">
        <v>8</v>
      </c>
      <c r="F4" t="s">
        <v>14</v>
      </c>
      <c r="G4">
        <v>2025409</v>
      </c>
      <c r="H4">
        <v>41638</v>
      </c>
      <c r="I4">
        <v>1377384</v>
      </c>
      <c r="J4">
        <v>606387</v>
      </c>
      <c r="K4">
        <v>8944</v>
      </c>
      <c r="L4">
        <v>1466</v>
      </c>
      <c r="M4">
        <v>30</v>
      </c>
      <c r="N4">
        <v>22149351</v>
      </c>
      <c r="O4">
        <v>16035</v>
      </c>
      <c r="P4" t="s">
        <v>293</v>
      </c>
    </row>
    <row r="5" spans="1:16" x14ac:dyDescent="0.25">
      <c r="A5" s="3">
        <v>43855</v>
      </c>
      <c r="B5" t="s">
        <v>15</v>
      </c>
      <c r="C5">
        <v>145940924</v>
      </c>
      <c r="D5">
        <v>493</v>
      </c>
      <c r="E5">
        <v>16</v>
      </c>
      <c r="F5" t="s">
        <v>12</v>
      </c>
      <c r="G5">
        <v>871894</v>
      </c>
      <c r="H5">
        <v>14606</v>
      </c>
      <c r="I5">
        <v>676357</v>
      </c>
      <c r="J5">
        <v>180931</v>
      </c>
      <c r="K5">
        <v>2300</v>
      </c>
      <c r="L5">
        <v>5974</v>
      </c>
      <c r="M5">
        <v>100</v>
      </c>
      <c r="N5">
        <v>29716907</v>
      </c>
      <c r="O5">
        <v>203623</v>
      </c>
      <c r="P5" t="s">
        <v>12</v>
      </c>
    </row>
    <row r="6" spans="1:16" x14ac:dyDescent="0.25">
      <c r="A6" s="3">
        <v>43856</v>
      </c>
      <c r="B6" t="s">
        <v>16</v>
      </c>
      <c r="C6">
        <v>59381566</v>
      </c>
      <c r="D6">
        <v>684</v>
      </c>
      <c r="E6">
        <v>14</v>
      </c>
      <c r="F6" t="s">
        <v>14</v>
      </c>
      <c r="G6">
        <v>538184</v>
      </c>
      <c r="H6">
        <v>9604</v>
      </c>
      <c r="I6">
        <v>387316</v>
      </c>
      <c r="J6">
        <v>141264</v>
      </c>
      <c r="K6">
        <v>539</v>
      </c>
      <c r="L6">
        <v>9063</v>
      </c>
      <c r="M6">
        <v>162</v>
      </c>
      <c r="N6">
        <v>3149807</v>
      </c>
      <c r="O6">
        <v>53044</v>
      </c>
      <c r="P6" t="s">
        <v>14</v>
      </c>
    </row>
    <row r="7" spans="1:16" x14ac:dyDescent="0.25">
      <c r="A7" s="3">
        <v>43857</v>
      </c>
      <c r="B7" t="s">
        <v>17</v>
      </c>
      <c r="C7">
        <v>129066160</v>
      </c>
      <c r="D7">
        <v>809</v>
      </c>
      <c r="E7">
        <v>26</v>
      </c>
      <c r="F7" t="s">
        <v>18</v>
      </c>
      <c r="G7">
        <v>462690</v>
      </c>
      <c r="H7">
        <v>50517</v>
      </c>
      <c r="I7">
        <v>308848</v>
      </c>
      <c r="J7">
        <v>103325</v>
      </c>
      <c r="K7">
        <v>3987</v>
      </c>
      <c r="L7">
        <v>3585</v>
      </c>
      <c r="M7">
        <v>391</v>
      </c>
      <c r="N7">
        <v>1056915</v>
      </c>
      <c r="O7">
        <v>8189</v>
      </c>
      <c r="P7" t="s">
        <v>291</v>
      </c>
    </row>
    <row r="8" spans="1:16" x14ac:dyDescent="0.25">
      <c r="A8" s="3">
        <v>43858</v>
      </c>
      <c r="B8" t="s">
        <v>19</v>
      </c>
      <c r="C8">
        <v>33016319</v>
      </c>
      <c r="D8">
        <v>2651</v>
      </c>
      <c r="E8">
        <v>49</v>
      </c>
      <c r="F8" t="s">
        <v>18</v>
      </c>
      <c r="G8">
        <v>455409</v>
      </c>
      <c r="H8">
        <v>20424</v>
      </c>
      <c r="I8">
        <v>310337</v>
      </c>
      <c r="J8">
        <v>124648</v>
      </c>
      <c r="K8">
        <v>1426</v>
      </c>
      <c r="L8">
        <v>13793</v>
      </c>
      <c r="M8">
        <v>619</v>
      </c>
      <c r="N8">
        <v>2493429</v>
      </c>
      <c r="O8">
        <v>75521</v>
      </c>
      <c r="P8" t="s">
        <v>292</v>
      </c>
    </row>
    <row r="9" spans="1:16" x14ac:dyDescent="0.25">
      <c r="A9" s="3">
        <v>43859</v>
      </c>
      <c r="B9" t="s">
        <v>20</v>
      </c>
      <c r="C9">
        <v>19132514</v>
      </c>
      <c r="D9">
        <v>588</v>
      </c>
      <c r="E9">
        <v>2</v>
      </c>
      <c r="F9" t="s">
        <v>12</v>
      </c>
      <c r="G9">
        <v>366671</v>
      </c>
      <c r="H9">
        <v>9889</v>
      </c>
      <c r="I9">
        <v>340168</v>
      </c>
      <c r="J9">
        <v>16614</v>
      </c>
      <c r="K9">
        <v>1358</v>
      </c>
      <c r="L9">
        <v>19165</v>
      </c>
      <c r="M9">
        <v>517</v>
      </c>
      <c r="N9">
        <v>1760615</v>
      </c>
      <c r="O9">
        <v>92022</v>
      </c>
      <c r="P9" t="s">
        <v>292</v>
      </c>
    </row>
    <row r="10" spans="1:16" x14ac:dyDescent="0.25">
      <c r="A10" s="3">
        <v>43860</v>
      </c>
      <c r="B10" t="s">
        <v>21</v>
      </c>
      <c r="C10">
        <v>50936262</v>
      </c>
      <c r="D10">
        <v>2068</v>
      </c>
      <c r="E10">
        <v>38</v>
      </c>
      <c r="F10" t="s">
        <v>22</v>
      </c>
      <c r="G10">
        <v>357710</v>
      </c>
      <c r="H10">
        <v>11939</v>
      </c>
      <c r="I10">
        <v>192355</v>
      </c>
      <c r="J10">
        <v>153416</v>
      </c>
      <c r="K10">
        <v>1493</v>
      </c>
      <c r="L10">
        <v>7023</v>
      </c>
      <c r="M10">
        <v>234</v>
      </c>
      <c r="N10">
        <v>1801835</v>
      </c>
      <c r="O10">
        <v>35374</v>
      </c>
      <c r="P10" t="s">
        <v>292</v>
      </c>
    </row>
    <row r="11" spans="1:16" x14ac:dyDescent="0.25">
      <c r="A11" s="3">
        <v>43861</v>
      </c>
      <c r="B11" t="s">
        <v>23</v>
      </c>
      <c r="C11">
        <v>46756648</v>
      </c>
      <c r="D11">
        <v>1693</v>
      </c>
      <c r="E11">
        <v>42</v>
      </c>
      <c r="F11" t="s">
        <v>12</v>
      </c>
      <c r="G11">
        <v>354530</v>
      </c>
      <c r="H11">
        <v>28500</v>
      </c>
      <c r="I11">
        <v>0</v>
      </c>
      <c r="J11">
        <v>153416</v>
      </c>
      <c r="K11">
        <v>617</v>
      </c>
      <c r="L11">
        <v>7582</v>
      </c>
      <c r="M11">
        <v>610</v>
      </c>
      <c r="N11">
        <v>7064329</v>
      </c>
      <c r="O11">
        <v>151087</v>
      </c>
      <c r="P11" t="s">
        <v>12</v>
      </c>
    </row>
    <row r="12" spans="1:16" x14ac:dyDescent="0.25">
      <c r="A12" s="3">
        <v>43862</v>
      </c>
      <c r="B12" t="s">
        <v>24</v>
      </c>
      <c r="C12">
        <v>84097623</v>
      </c>
      <c r="D12">
        <v>2111</v>
      </c>
      <c r="E12">
        <v>46</v>
      </c>
      <c r="F12" t="s">
        <v>12</v>
      </c>
      <c r="G12">
        <v>320117</v>
      </c>
      <c r="H12">
        <v>17976</v>
      </c>
      <c r="I12">
        <v>277463</v>
      </c>
      <c r="J12">
        <v>24678</v>
      </c>
      <c r="K12">
        <v>4156</v>
      </c>
      <c r="L12">
        <v>3806</v>
      </c>
      <c r="M12">
        <v>214</v>
      </c>
      <c r="N12">
        <v>2612763</v>
      </c>
      <c r="O12">
        <v>31068</v>
      </c>
      <c r="P12" t="s">
        <v>293</v>
      </c>
    </row>
    <row r="13" spans="1:16" x14ac:dyDescent="0.25">
      <c r="A13" s="3">
        <v>43863</v>
      </c>
      <c r="B13" t="s">
        <v>25</v>
      </c>
      <c r="C13">
        <v>67922029</v>
      </c>
      <c r="D13">
        <v>4749</v>
      </c>
      <c r="E13">
        <v>103</v>
      </c>
      <c r="F13" t="s">
        <v>18</v>
      </c>
      <c r="G13">
        <v>308134</v>
      </c>
      <c r="H13">
        <v>46413</v>
      </c>
      <c r="I13">
        <v>0</v>
      </c>
      <c r="J13">
        <v>0</v>
      </c>
      <c r="K13">
        <v>73</v>
      </c>
      <c r="L13">
        <v>4537</v>
      </c>
      <c r="M13">
        <v>683</v>
      </c>
      <c r="N13">
        <v>17515234</v>
      </c>
      <c r="O13">
        <v>257873</v>
      </c>
      <c r="P13" t="s">
        <v>12</v>
      </c>
    </row>
    <row r="14" spans="1:16" x14ac:dyDescent="0.25">
      <c r="A14" s="3">
        <v>43864</v>
      </c>
      <c r="B14" t="s">
        <v>26</v>
      </c>
      <c r="C14">
        <v>34865919</v>
      </c>
      <c r="D14">
        <v>3100</v>
      </c>
      <c r="E14">
        <v>64</v>
      </c>
      <c r="F14" t="s">
        <v>10</v>
      </c>
      <c r="G14">
        <v>284226</v>
      </c>
      <c r="H14">
        <v>3055</v>
      </c>
      <c r="I14">
        <v>247089</v>
      </c>
      <c r="J14">
        <v>34082</v>
      </c>
      <c r="K14">
        <v>1915</v>
      </c>
      <c r="L14">
        <v>8152</v>
      </c>
      <c r="M14">
        <v>88</v>
      </c>
      <c r="N14">
        <v>3635705</v>
      </c>
      <c r="O14">
        <v>104277</v>
      </c>
      <c r="P14" t="s">
        <v>293</v>
      </c>
    </row>
    <row r="15" spans="1:16" x14ac:dyDescent="0.25">
      <c r="A15" s="3">
        <v>43865</v>
      </c>
      <c r="B15" t="s">
        <v>27</v>
      </c>
      <c r="C15">
        <v>221295851</v>
      </c>
      <c r="D15">
        <v>4011</v>
      </c>
      <c r="E15">
        <v>66</v>
      </c>
      <c r="F15" t="s">
        <v>28</v>
      </c>
      <c r="G15">
        <v>281863</v>
      </c>
      <c r="H15">
        <v>6035</v>
      </c>
      <c r="I15">
        <v>256058</v>
      </c>
      <c r="J15">
        <v>19770</v>
      </c>
      <c r="K15">
        <v>809</v>
      </c>
      <c r="L15">
        <v>1274</v>
      </c>
      <c r="M15">
        <v>27</v>
      </c>
      <c r="N15">
        <v>2058872</v>
      </c>
      <c r="O15">
        <v>9304</v>
      </c>
      <c r="P15" t="s">
        <v>293</v>
      </c>
    </row>
    <row r="16" spans="1:16" x14ac:dyDescent="0.25">
      <c r="A16" s="3">
        <v>43866</v>
      </c>
      <c r="B16" t="s">
        <v>29</v>
      </c>
      <c r="C16">
        <v>164851401</v>
      </c>
      <c r="D16">
        <v>3745</v>
      </c>
      <c r="E16">
        <v>72</v>
      </c>
      <c r="F16" t="s">
        <v>18</v>
      </c>
      <c r="G16">
        <v>249651</v>
      </c>
      <c r="H16">
        <v>3306</v>
      </c>
      <c r="I16">
        <v>143824</v>
      </c>
      <c r="J16">
        <v>102521</v>
      </c>
      <c r="K16">
        <v>0</v>
      </c>
      <c r="L16">
        <v>1514</v>
      </c>
      <c r="M16">
        <v>20</v>
      </c>
      <c r="N16">
        <v>1225124</v>
      </c>
      <c r="O16">
        <v>7432</v>
      </c>
      <c r="P16" t="s">
        <v>293</v>
      </c>
    </row>
    <row r="17" spans="1:16" x14ac:dyDescent="0.25">
      <c r="A17" s="3">
        <v>43867</v>
      </c>
      <c r="B17" t="s">
        <v>30</v>
      </c>
      <c r="C17">
        <v>60452568</v>
      </c>
      <c r="D17">
        <v>3159</v>
      </c>
      <c r="E17">
        <v>70</v>
      </c>
      <c r="F17" t="s">
        <v>12</v>
      </c>
      <c r="G17">
        <v>249204</v>
      </c>
      <c r="H17">
        <v>35187</v>
      </c>
      <c r="I17">
        <v>201323</v>
      </c>
      <c r="J17">
        <v>12694</v>
      </c>
      <c r="K17">
        <v>42</v>
      </c>
      <c r="L17">
        <v>4122</v>
      </c>
      <c r="M17">
        <v>582</v>
      </c>
      <c r="N17">
        <v>7099713</v>
      </c>
      <c r="O17">
        <v>117443</v>
      </c>
      <c r="P17" t="s">
        <v>12</v>
      </c>
    </row>
    <row r="18" spans="1:16" x14ac:dyDescent="0.25">
      <c r="A18" s="3">
        <v>43868</v>
      </c>
      <c r="B18" t="s">
        <v>297</v>
      </c>
      <c r="C18">
        <v>84428331</v>
      </c>
      <c r="D18">
        <v>3532</v>
      </c>
      <c r="E18">
        <v>85</v>
      </c>
      <c r="F18" t="s">
        <v>12</v>
      </c>
      <c r="G18">
        <v>237265</v>
      </c>
      <c r="H18">
        <v>5798</v>
      </c>
      <c r="I18">
        <v>220546</v>
      </c>
      <c r="J18">
        <v>10921</v>
      </c>
      <c r="K18">
        <v>580</v>
      </c>
      <c r="L18">
        <v>2810</v>
      </c>
      <c r="M18">
        <v>69</v>
      </c>
      <c r="N18">
        <v>5081802</v>
      </c>
      <c r="O18">
        <v>60191</v>
      </c>
      <c r="P18" t="s">
        <v>293</v>
      </c>
    </row>
    <row r="19" spans="1:16" x14ac:dyDescent="0.25">
      <c r="A19" s="3">
        <v>43869</v>
      </c>
      <c r="B19" t="s">
        <v>32</v>
      </c>
      <c r="C19">
        <v>45236884</v>
      </c>
      <c r="D19">
        <v>2734</v>
      </c>
      <c r="E19">
        <v>87</v>
      </c>
      <c r="F19" t="s">
        <v>18</v>
      </c>
      <c r="G19">
        <v>228195</v>
      </c>
      <c r="H19">
        <v>4251</v>
      </c>
      <c r="I19">
        <v>99852</v>
      </c>
      <c r="J19">
        <v>124092</v>
      </c>
      <c r="K19">
        <v>1150</v>
      </c>
      <c r="L19">
        <v>5044</v>
      </c>
      <c r="M19">
        <v>94</v>
      </c>
      <c r="N19">
        <v>794544</v>
      </c>
      <c r="O19">
        <v>17564</v>
      </c>
      <c r="P19" t="s">
        <v>292</v>
      </c>
    </row>
    <row r="20" spans="1:16" x14ac:dyDescent="0.25">
      <c r="A20" s="3">
        <v>43870</v>
      </c>
      <c r="B20" t="s">
        <v>33</v>
      </c>
      <c r="C20">
        <v>83811260</v>
      </c>
      <c r="D20">
        <v>3027</v>
      </c>
      <c r="E20">
        <v>100</v>
      </c>
      <c r="F20" t="s">
        <v>14</v>
      </c>
      <c r="G20">
        <v>215210</v>
      </c>
      <c r="H20">
        <v>9252</v>
      </c>
      <c r="I20">
        <v>196200</v>
      </c>
      <c r="J20">
        <v>9758</v>
      </c>
      <c r="K20">
        <v>236</v>
      </c>
      <c r="L20">
        <v>2568</v>
      </c>
      <c r="M20">
        <v>110</v>
      </c>
      <c r="N20">
        <v>8586648</v>
      </c>
      <c r="O20">
        <v>102452</v>
      </c>
      <c r="P20" t="s">
        <v>12</v>
      </c>
    </row>
    <row r="21" spans="1:16" x14ac:dyDescent="0.25">
      <c r="A21" s="3">
        <v>43871</v>
      </c>
      <c r="B21" t="s">
        <v>34</v>
      </c>
      <c r="C21">
        <v>65288306</v>
      </c>
      <c r="D21">
        <v>2538</v>
      </c>
      <c r="E21">
        <v>107</v>
      </c>
      <c r="F21" t="s">
        <v>28</v>
      </c>
      <c r="G21">
        <v>195633</v>
      </c>
      <c r="H21">
        <v>30312</v>
      </c>
      <c r="I21">
        <v>82460</v>
      </c>
      <c r="J21">
        <v>82861</v>
      </c>
      <c r="K21">
        <v>384</v>
      </c>
      <c r="L21">
        <v>2996</v>
      </c>
      <c r="M21">
        <v>464</v>
      </c>
      <c r="N21">
        <v>3992206</v>
      </c>
      <c r="O21">
        <v>61147</v>
      </c>
      <c r="P21" t="s">
        <v>12</v>
      </c>
    </row>
    <row r="22" spans="1:16" x14ac:dyDescent="0.25">
      <c r="A22" s="3">
        <v>43872</v>
      </c>
      <c r="B22" t="s">
        <v>35</v>
      </c>
      <c r="C22">
        <v>40306025</v>
      </c>
      <c r="D22">
        <v>2042</v>
      </c>
      <c r="E22">
        <v>100</v>
      </c>
      <c r="F22" t="s">
        <v>18</v>
      </c>
      <c r="G22">
        <v>140603</v>
      </c>
      <c r="H22">
        <v>5161</v>
      </c>
      <c r="I22">
        <v>101025</v>
      </c>
      <c r="J22">
        <v>34417</v>
      </c>
      <c r="K22">
        <v>517</v>
      </c>
      <c r="L22">
        <v>3488</v>
      </c>
      <c r="M22">
        <v>128</v>
      </c>
      <c r="N22">
        <v>1092741</v>
      </c>
      <c r="O22">
        <v>27111</v>
      </c>
      <c r="P22" t="s">
        <v>293</v>
      </c>
    </row>
    <row r="23" spans="1:16" x14ac:dyDescent="0.25">
      <c r="A23" s="3">
        <v>43873</v>
      </c>
      <c r="B23" t="s">
        <v>36</v>
      </c>
      <c r="C23">
        <v>109722719</v>
      </c>
      <c r="D23">
        <v>1886</v>
      </c>
      <c r="E23">
        <v>5</v>
      </c>
      <c r="F23" t="s">
        <v>12</v>
      </c>
      <c r="G23">
        <v>119460</v>
      </c>
      <c r="H23">
        <v>2150</v>
      </c>
      <c r="I23">
        <v>66837</v>
      </c>
      <c r="J23">
        <v>50473</v>
      </c>
      <c r="K23">
        <v>239</v>
      </c>
      <c r="L23">
        <v>1089</v>
      </c>
      <c r="M23">
        <v>20</v>
      </c>
      <c r="N23">
        <v>1669996</v>
      </c>
      <c r="O23">
        <v>15220</v>
      </c>
      <c r="P23" t="s">
        <v>293</v>
      </c>
    </row>
    <row r="24" spans="1:16" x14ac:dyDescent="0.25">
      <c r="A24" s="3">
        <v>43874</v>
      </c>
      <c r="B24" t="s">
        <v>37</v>
      </c>
      <c r="C24">
        <v>273808365</v>
      </c>
      <c r="D24">
        <v>13645</v>
      </c>
      <c r="E24">
        <v>253</v>
      </c>
      <c r="F24" t="s">
        <v>14</v>
      </c>
      <c r="G24">
        <v>118753</v>
      </c>
      <c r="H24">
        <v>5521</v>
      </c>
      <c r="I24">
        <v>75645</v>
      </c>
      <c r="J24">
        <v>37587</v>
      </c>
      <c r="K24">
        <v>0</v>
      </c>
      <c r="L24">
        <v>434</v>
      </c>
      <c r="M24">
        <v>20</v>
      </c>
      <c r="N24">
        <v>1633156</v>
      </c>
      <c r="O24">
        <v>5965</v>
      </c>
      <c r="P24" t="s">
        <v>293</v>
      </c>
    </row>
    <row r="25" spans="1:16" x14ac:dyDescent="0.25">
      <c r="A25" s="3">
        <v>43875</v>
      </c>
      <c r="B25" t="s">
        <v>38</v>
      </c>
      <c r="C25">
        <v>37775022</v>
      </c>
      <c r="D25">
        <v>6484</v>
      </c>
      <c r="E25">
        <v>152</v>
      </c>
      <c r="F25" t="s">
        <v>18</v>
      </c>
      <c r="G25">
        <v>118561</v>
      </c>
      <c r="H25">
        <v>8966</v>
      </c>
      <c r="I25">
        <v>103106</v>
      </c>
      <c r="J25">
        <v>6489</v>
      </c>
      <c r="K25">
        <v>2263</v>
      </c>
      <c r="L25">
        <v>3139</v>
      </c>
      <c r="M25">
        <v>237</v>
      </c>
      <c r="N25">
        <v>4319172</v>
      </c>
      <c r="O25">
        <v>114339</v>
      </c>
      <c r="P25" t="s">
        <v>291</v>
      </c>
    </row>
    <row r="26" spans="1:16" x14ac:dyDescent="0.25">
      <c r="A26" s="3">
        <v>43876</v>
      </c>
      <c r="B26" t="s">
        <v>39</v>
      </c>
      <c r="C26">
        <v>2807805</v>
      </c>
      <c r="D26">
        <v>2075</v>
      </c>
      <c r="E26">
        <v>143</v>
      </c>
      <c r="F26" t="s">
        <v>22</v>
      </c>
      <c r="G26">
        <v>112092</v>
      </c>
      <c r="H26">
        <v>178</v>
      </c>
      <c r="I26">
        <v>108831</v>
      </c>
      <c r="J26">
        <v>3083</v>
      </c>
      <c r="K26">
        <v>77</v>
      </c>
      <c r="L26">
        <v>39922</v>
      </c>
      <c r="M26">
        <v>63</v>
      </c>
      <c r="N26">
        <v>511000</v>
      </c>
      <c r="O26">
        <v>181993</v>
      </c>
      <c r="P26" t="s">
        <v>293</v>
      </c>
    </row>
    <row r="27" spans="1:16" x14ac:dyDescent="0.25">
      <c r="A27" s="3">
        <v>43877</v>
      </c>
      <c r="B27" t="s">
        <v>40</v>
      </c>
      <c r="C27">
        <v>18798667</v>
      </c>
      <c r="D27">
        <v>2114</v>
      </c>
      <c r="E27">
        <v>104</v>
      </c>
      <c r="F27" t="s">
        <v>12</v>
      </c>
      <c r="G27">
        <v>95942</v>
      </c>
      <c r="H27">
        <v>1058</v>
      </c>
      <c r="I27">
        <v>68871</v>
      </c>
      <c r="J27">
        <v>26013</v>
      </c>
      <c r="K27">
        <v>221</v>
      </c>
      <c r="L27">
        <v>5104</v>
      </c>
      <c r="M27">
        <v>56</v>
      </c>
      <c r="N27">
        <v>2163713</v>
      </c>
      <c r="O27">
        <v>115099</v>
      </c>
      <c r="P27" t="s">
        <v>293</v>
      </c>
    </row>
    <row r="28" spans="1:16" x14ac:dyDescent="0.25">
      <c r="A28" s="3">
        <v>43878</v>
      </c>
      <c r="B28" t="s">
        <v>41</v>
      </c>
      <c r="C28">
        <v>102516525</v>
      </c>
      <c r="D28">
        <v>1936</v>
      </c>
      <c r="E28">
        <v>98</v>
      </c>
      <c r="F28" t="s">
        <v>14</v>
      </c>
      <c r="G28">
        <v>95006</v>
      </c>
      <c r="H28">
        <v>4951</v>
      </c>
      <c r="I28">
        <v>48898</v>
      </c>
      <c r="J28">
        <v>41157</v>
      </c>
      <c r="K28">
        <v>41</v>
      </c>
      <c r="L28">
        <v>927</v>
      </c>
      <c r="M28">
        <v>48</v>
      </c>
      <c r="N28">
        <v>135000</v>
      </c>
      <c r="O28">
        <v>1317</v>
      </c>
      <c r="P28" t="s">
        <v>14</v>
      </c>
    </row>
    <row r="29" spans="1:16" x14ac:dyDescent="0.25">
      <c r="A29" s="3">
        <v>43879</v>
      </c>
      <c r="B29" t="s">
        <v>42</v>
      </c>
      <c r="C29">
        <v>17668824</v>
      </c>
      <c r="D29">
        <v>1794</v>
      </c>
      <c r="E29">
        <v>140</v>
      </c>
      <c r="F29" t="s">
        <v>28</v>
      </c>
      <c r="G29">
        <v>90537</v>
      </c>
      <c r="H29">
        <v>5877</v>
      </c>
      <c r="I29">
        <v>71318</v>
      </c>
      <c r="J29">
        <v>13342</v>
      </c>
      <c r="K29">
        <v>378</v>
      </c>
      <c r="L29">
        <v>5124</v>
      </c>
      <c r="M29">
        <v>333</v>
      </c>
      <c r="N29">
        <v>258582</v>
      </c>
      <c r="O29">
        <v>14635</v>
      </c>
      <c r="P29" t="s">
        <v>292</v>
      </c>
    </row>
    <row r="30" spans="1:16" x14ac:dyDescent="0.25">
      <c r="A30" s="3">
        <v>43880</v>
      </c>
      <c r="B30" t="s">
        <v>43</v>
      </c>
      <c r="C30">
        <v>11688459</v>
      </c>
      <c r="D30">
        <v>421</v>
      </c>
      <c r="E30">
        <v>115</v>
      </c>
      <c r="F30" t="s">
        <v>14</v>
      </c>
      <c r="G30">
        <v>86423</v>
      </c>
      <c r="H30">
        <v>3465</v>
      </c>
      <c r="I30">
        <v>27373</v>
      </c>
      <c r="J30">
        <v>55585</v>
      </c>
      <c r="K30">
        <v>71</v>
      </c>
      <c r="L30">
        <v>7394</v>
      </c>
      <c r="M30">
        <v>296</v>
      </c>
      <c r="N30">
        <v>183583</v>
      </c>
      <c r="O30">
        <v>15706</v>
      </c>
      <c r="P30" t="s">
        <v>292</v>
      </c>
    </row>
    <row r="31" spans="1:16" x14ac:dyDescent="0.25">
      <c r="A31" s="3">
        <v>43881</v>
      </c>
      <c r="B31" t="s">
        <v>44</v>
      </c>
      <c r="C31">
        <v>10105596</v>
      </c>
      <c r="D31">
        <v>547</v>
      </c>
      <c r="E31">
        <v>123</v>
      </c>
      <c r="F31" t="s">
        <v>14</v>
      </c>
      <c r="G31">
        <v>81967</v>
      </c>
      <c r="H31">
        <v>5766</v>
      </c>
      <c r="I31">
        <v>0</v>
      </c>
      <c r="J31">
        <v>0</v>
      </c>
      <c r="K31">
        <v>38</v>
      </c>
      <c r="L31">
        <v>8111</v>
      </c>
      <c r="M31">
        <v>571</v>
      </c>
      <c r="N31">
        <v>863315</v>
      </c>
      <c r="O31">
        <v>85429</v>
      </c>
      <c r="P31" t="s">
        <v>12</v>
      </c>
    </row>
    <row r="32" spans="1:16" x14ac:dyDescent="0.25">
      <c r="A32" s="3">
        <v>43882</v>
      </c>
      <c r="B32" t="s">
        <v>45</v>
      </c>
      <c r="C32">
        <v>5118446</v>
      </c>
      <c r="D32">
        <v>629</v>
      </c>
      <c r="E32">
        <v>4</v>
      </c>
      <c r="F32" t="s">
        <v>22</v>
      </c>
      <c r="G32">
        <v>80713</v>
      </c>
      <c r="H32">
        <v>492</v>
      </c>
      <c r="I32">
        <v>70910</v>
      </c>
      <c r="J32">
        <v>9311</v>
      </c>
      <c r="K32">
        <v>177</v>
      </c>
      <c r="L32">
        <v>15769</v>
      </c>
      <c r="M32">
        <v>96</v>
      </c>
      <c r="N32">
        <v>309212</v>
      </c>
      <c r="O32">
        <v>60411</v>
      </c>
      <c r="P32" t="s">
        <v>293</v>
      </c>
    </row>
    <row r="33" spans="1:16" x14ac:dyDescent="0.25">
      <c r="A33" s="3">
        <v>43883</v>
      </c>
      <c r="B33" t="s">
        <v>46</v>
      </c>
      <c r="C33">
        <v>9197590</v>
      </c>
      <c r="D33">
        <v>1761</v>
      </c>
      <c r="E33">
        <v>207</v>
      </c>
      <c r="F33" t="s">
        <v>14</v>
      </c>
      <c r="G33">
        <v>79559</v>
      </c>
      <c r="H33">
        <v>576</v>
      </c>
      <c r="I33">
        <v>53427</v>
      </c>
      <c r="J33">
        <v>25556</v>
      </c>
      <c r="K33">
        <v>358</v>
      </c>
      <c r="L33">
        <v>8650</v>
      </c>
      <c r="M33">
        <v>63</v>
      </c>
      <c r="N33">
        <v>1872453</v>
      </c>
      <c r="O33">
        <v>203581</v>
      </c>
      <c r="P33" t="s">
        <v>293</v>
      </c>
    </row>
    <row r="34" spans="1:16" x14ac:dyDescent="0.25">
      <c r="A34" s="3">
        <v>43884</v>
      </c>
      <c r="B34" t="s">
        <v>47</v>
      </c>
      <c r="C34">
        <v>43705858</v>
      </c>
      <c r="D34">
        <v>323</v>
      </c>
      <c r="E34">
        <v>10</v>
      </c>
      <c r="F34" t="s">
        <v>18</v>
      </c>
      <c r="G34">
        <v>76808</v>
      </c>
      <c r="H34">
        <v>1819</v>
      </c>
      <c r="I34">
        <v>42524</v>
      </c>
      <c r="J34">
        <v>32465</v>
      </c>
      <c r="K34">
        <v>158</v>
      </c>
      <c r="L34">
        <v>1757</v>
      </c>
      <c r="M34">
        <v>42</v>
      </c>
      <c r="N34">
        <v>1116641</v>
      </c>
      <c r="O34">
        <v>25549</v>
      </c>
      <c r="P34" t="s">
        <v>12</v>
      </c>
    </row>
    <row r="35" spans="1:16" x14ac:dyDescent="0.25">
      <c r="A35" s="3">
        <v>43885</v>
      </c>
      <c r="B35" t="s">
        <v>48</v>
      </c>
      <c r="C35">
        <v>10858648</v>
      </c>
      <c r="D35">
        <v>564</v>
      </c>
      <c r="E35">
        <v>160</v>
      </c>
      <c r="F35" t="s">
        <v>14</v>
      </c>
      <c r="G35">
        <v>76536</v>
      </c>
      <c r="H35">
        <v>1246</v>
      </c>
      <c r="I35">
        <v>40539</v>
      </c>
      <c r="J35">
        <v>34751</v>
      </c>
      <c r="K35">
        <v>317</v>
      </c>
      <c r="L35">
        <v>7048</v>
      </c>
      <c r="M35">
        <v>115</v>
      </c>
      <c r="N35">
        <v>281926</v>
      </c>
      <c r="O35">
        <v>25963</v>
      </c>
      <c r="P35" t="s">
        <v>291</v>
      </c>
    </row>
    <row r="36" spans="1:16" x14ac:dyDescent="0.25">
      <c r="A36" s="3">
        <v>43886</v>
      </c>
      <c r="B36" t="s">
        <v>49</v>
      </c>
      <c r="C36">
        <v>4321282</v>
      </c>
      <c r="D36">
        <v>853</v>
      </c>
      <c r="E36">
        <v>80</v>
      </c>
      <c r="F36" t="s">
        <v>14</v>
      </c>
      <c r="G36">
        <v>71418</v>
      </c>
      <c r="H36">
        <v>1574</v>
      </c>
      <c r="I36">
        <v>45658</v>
      </c>
      <c r="J36">
        <v>24186</v>
      </c>
      <c r="K36">
        <v>161</v>
      </c>
      <c r="L36">
        <v>16527</v>
      </c>
      <c r="M36">
        <v>364</v>
      </c>
      <c r="N36">
        <v>240995</v>
      </c>
      <c r="O36">
        <v>55769</v>
      </c>
      <c r="P36" t="s">
        <v>291</v>
      </c>
    </row>
    <row r="37" spans="1:16" x14ac:dyDescent="0.25">
      <c r="A37" s="3">
        <v>43887</v>
      </c>
      <c r="B37" t="s">
        <v>50</v>
      </c>
      <c r="C37">
        <v>11594739</v>
      </c>
      <c r="D37">
        <v>963</v>
      </c>
      <c r="E37">
        <v>60</v>
      </c>
      <c r="F37" t="s">
        <v>18</v>
      </c>
      <c r="G37">
        <v>71158</v>
      </c>
      <c r="H37">
        <v>9859</v>
      </c>
      <c r="I37">
        <v>17661</v>
      </c>
      <c r="J37">
        <v>43638</v>
      </c>
      <c r="K37">
        <v>61</v>
      </c>
      <c r="L37">
        <v>6137</v>
      </c>
      <c r="M37">
        <v>850</v>
      </c>
      <c r="N37">
        <v>1767120</v>
      </c>
      <c r="O37">
        <v>152407</v>
      </c>
      <c r="P37" t="s">
        <v>12</v>
      </c>
    </row>
    <row r="38" spans="1:16" x14ac:dyDescent="0.25">
      <c r="A38" s="3">
        <v>43888</v>
      </c>
      <c r="B38" t="s">
        <v>51</v>
      </c>
      <c r="C38">
        <v>4276658</v>
      </c>
      <c r="D38">
        <v>1364</v>
      </c>
      <c r="E38">
        <v>43</v>
      </c>
      <c r="F38" t="s">
        <v>22</v>
      </c>
      <c r="G38">
        <v>70045</v>
      </c>
      <c r="H38">
        <v>469</v>
      </c>
      <c r="I38">
        <v>61610</v>
      </c>
      <c r="J38">
        <v>7966</v>
      </c>
      <c r="K38">
        <v>127</v>
      </c>
      <c r="L38">
        <v>16378</v>
      </c>
      <c r="M38">
        <v>110</v>
      </c>
      <c r="N38">
        <v>522200</v>
      </c>
      <c r="O38">
        <v>122105</v>
      </c>
      <c r="P38" t="s">
        <v>293</v>
      </c>
    </row>
    <row r="39" spans="1:16" x14ac:dyDescent="0.25">
      <c r="A39" s="3">
        <v>43889</v>
      </c>
      <c r="B39" t="s">
        <v>52</v>
      </c>
      <c r="C39">
        <v>9449001</v>
      </c>
      <c r="D39">
        <v>1377</v>
      </c>
      <c r="E39">
        <v>57</v>
      </c>
      <c r="F39" t="s">
        <v>18</v>
      </c>
      <c r="G39">
        <v>68503</v>
      </c>
      <c r="H39">
        <v>580</v>
      </c>
      <c r="I39">
        <v>63756</v>
      </c>
      <c r="J39">
        <v>4167</v>
      </c>
      <c r="K39">
        <v>0</v>
      </c>
      <c r="L39">
        <v>7250</v>
      </c>
      <c r="M39">
        <v>61</v>
      </c>
      <c r="N39">
        <v>1344303</v>
      </c>
      <c r="O39">
        <v>142269</v>
      </c>
      <c r="P39" t="s">
        <v>12</v>
      </c>
    </row>
    <row r="40" spans="1:16" x14ac:dyDescent="0.25">
      <c r="A40" s="3">
        <v>43890</v>
      </c>
      <c r="B40" t="s">
        <v>53</v>
      </c>
      <c r="C40">
        <v>9902079</v>
      </c>
      <c r="D40">
        <v>1895</v>
      </c>
      <c r="E40">
        <v>69</v>
      </c>
      <c r="F40" t="s">
        <v>14</v>
      </c>
      <c r="G40">
        <v>61845</v>
      </c>
      <c r="H40">
        <v>354</v>
      </c>
      <c r="I40">
        <v>55739</v>
      </c>
      <c r="J40">
        <v>5752</v>
      </c>
      <c r="K40">
        <v>0</v>
      </c>
      <c r="L40">
        <v>6246</v>
      </c>
      <c r="M40">
        <v>36</v>
      </c>
      <c r="N40">
        <v>5262658</v>
      </c>
      <c r="O40">
        <v>531470</v>
      </c>
      <c r="P40" t="s">
        <v>293</v>
      </c>
    </row>
    <row r="41" spans="1:16" x14ac:dyDescent="0.25">
      <c r="A41" s="3">
        <v>43891</v>
      </c>
      <c r="B41" t="s">
        <v>54</v>
      </c>
      <c r="C41">
        <v>19224023</v>
      </c>
      <c r="D41">
        <v>2384</v>
      </c>
      <c r="E41">
        <v>54</v>
      </c>
      <c r="F41" t="s">
        <v>14</v>
      </c>
      <c r="G41">
        <v>57895</v>
      </c>
      <c r="H41">
        <v>2566</v>
      </c>
      <c r="I41">
        <v>28992</v>
      </c>
      <c r="J41">
        <v>26337</v>
      </c>
      <c r="K41">
        <v>458</v>
      </c>
      <c r="L41">
        <v>3012</v>
      </c>
      <c r="M41">
        <v>133</v>
      </c>
      <c r="N41">
        <v>1319369</v>
      </c>
      <c r="O41">
        <v>68631</v>
      </c>
      <c r="P41" t="s">
        <v>12</v>
      </c>
    </row>
    <row r="42" spans="1:16" x14ac:dyDescent="0.25">
      <c r="A42" s="3">
        <v>43892</v>
      </c>
      <c r="B42" t="s">
        <v>55</v>
      </c>
      <c r="C42">
        <v>17138756</v>
      </c>
      <c r="D42">
        <v>1974</v>
      </c>
      <c r="E42">
        <v>89</v>
      </c>
      <c r="F42" t="s">
        <v>14</v>
      </c>
      <c r="G42">
        <v>56982</v>
      </c>
      <c r="H42">
        <v>6153</v>
      </c>
      <c r="I42">
        <v>0</v>
      </c>
      <c r="J42">
        <v>0</v>
      </c>
      <c r="K42">
        <v>37</v>
      </c>
      <c r="L42">
        <v>3325</v>
      </c>
      <c r="M42">
        <v>359</v>
      </c>
      <c r="N42">
        <v>1079860</v>
      </c>
      <c r="O42">
        <v>63007</v>
      </c>
      <c r="P42" t="s">
        <v>12</v>
      </c>
    </row>
    <row r="43" spans="1:16" x14ac:dyDescent="0.25">
      <c r="A43" s="3">
        <v>43893</v>
      </c>
      <c r="B43" t="s">
        <v>56</v>
      </c>
      <c r="C43">
        <v>5854932</v>
      </c>
      <c r="D43">
        <v>2577</v>
      </c>
      <c r="E43">
        <v>75</v>
      </c>
      <c r="F43" t="s">
        <v>18</v>
      </c>
      <c r="G43">
        <v>54555</v>
      </c>
      <c r="H43">
        <v>27</v>
      </c>
      <c r="I43">
        <v>48031</v>
      </c>
      <c r="J43">
        <v>6497</v>
      </c>
      <c r="K43">
        <v>0</v>
      </c>
      <c r="L43">
        <v>9318</v>
      </c>
      <c r="M43">
        <v>5</v>
      </c>
      <c r="N43">
        <v>1474372</v>
      </c>
      <c r="O43">
        <v>251817</v>
      </c>
      <c r="P43" t="s">
        <v>293</v>
      </c>
    </row>
    <row r="44" spans="1:16" x14ac:dyDescent="0.25">
      <c r="A44" s="3">
        <v>43894</v>
      </c>
      <c r="B44" t="s">
        <v>57</v>
      </c>
      <c r="C44">
        <v>17946899</v>
      </c>
      <c r="D44">
        <v>2299</v>
      </c>
      <c r="E44">
        <v>95</v>
      </c>
      <c r="F44" t="s">
        <v>14</v>
      </c>
      <c r="G44">
        <v>54339</v>
      </c>
      <c r="H44">
        <v>2119</v>
      </c>
      <c r="I44">
        <v>42070</v>
      </c>
      <c r="J44">
        <v>10150</v>
      </c>
      <c r="K44">
        <v>5</v>
      </c>
      <c r="L44">
        <v>3028</v>
      </c>
      <c r="M44">
        <v>118</v>
      </c>
      <c r="N44">
        <v>172712</v>
      </c>
      <c r="O44">
        <v>9624</v>
      </c>
      <c r="P44" t="s">
        <v>291</v>
      </c>
    </row>
    <row r="45" spans="1:16" x14ac:dyDescent="0.25">
      <c r="A45" s="3">
        <v>43895</v>
      </c>
      <c r="B45" t="s">
        <v>58</v>
      </c>
      <c r="C45">
        <v>10193593</v>
      </c>
      <c r="D45">
        <v>2791</v>
      </c>
      <c r="E45">
        <v>93</v>
      </c>
      <c r="F45" t="s">
        <v>12</v>
      </c>
      <c r="G45">
        <v>52061</v>
      </c>
      <c r="H45">
        <v>1743</v>
      </c>
      <c r="I45">
        <v>37840</v>
      </c>
      <c r="J45">
        <v>12478</v>
      </c>
      <c r="K45">
        <v>42</v>
      </c>
      <c r="L45">
        <v>5107</v>
      </c>
      <c r="M45">
        <v>171</v>
      </c>
      <c r="N45">
        <v>1705474</v>
      </c>
      <c r="O45">
        <v>167308</v>
      </c>
      <c r="P45" t="s">
        <v>12</v>
      </c>
    </row>
    <row r="46" spans="1:16" x14ac:dyDescent="0.25">
      <c r="A46" s="3">
        <v>43896</v>
      </c>
      <c r="B46" t="s">
        <v>59</v>
      </c>
      <c r="C46">
        <v>37842302</v>
      </c>
      <c r="D46">
        <v>3943</v>
      </c>
      <c r="E46">
        <v>112</v>
      </c>
      <c r="F46" t="s">
        <v>18</v>
      </c>
      <c r="G46">
        <v>49515</v>
      </c>
      <c r="H46">
        <v>1774</v>
      </c>
      <c r="I46">
        <v>35642</v>
      </c>
      <c r="J46">
        <v>12099</v>
      </c>
      <c r="K46">
        <v>72</v>
      </c>
      <c r="L46">
        <v>1308</v>
      </c>
      <c r="M46">
        <v>47</v>
      </c>
      <c r="N46">
        <v>2374686</v>
      </c>
      <c r="O46">
        <v>62752</v>
      </c>
      <c r="P46" t="s">
        <v>12</v>
      </c>
    </row>
    <row r="47" spans="1:16" x14ac:dyDescent="0.25">
      <c r="A47" s="3">
        <v>43897</v>
      </c>
      <c r="B47" t="s">
        <v>60</v>
      </c>
      <c r="C47">
        <v>206606300</v>
      </c>
      <c r="D47">
        <v>4038</v>
      </c>
      <c r="E47">
        <v>99</v>
      </c>
      <c r="F47" t="s">
        <v>12</v>
      </c>
      <c r="G47">
        <v>45244</v>
      </c>
      <c r="H47">
        <v>930</v>
      </c>
      <c r="I47">
        <v>32430</v>
      </c>
      <c r="J47">
        <v>11884</v>
      </c>
      <c r="K47">
        <v>7</v>
      </c>
      <c r="L47">
        <v>219</v>
      </c>
      <c r="M47">
        <v>5</v>
      </c>
      <c r="N47">
        <v>306894</v>
      </c>
      <c r="O47">
        <v>1485</v>
      </c>
      <c r="P47" t="s">
        <v>14</v>
      </c>
    </row>
    <row r="48" spans="1:16" x14ac:dyDescent="0.25">
      <c r="A48" s="3">
        <v>43898</v>
      </c>
      <c r="B48" t="s">
        <v>61</v>
      </c>
      <c r="C48">
        <v>9919704</v>
      </c>
      <c r="D48">
        <v>3954</v>
      </c>
      <c r="E48">
        <v>244</v>
      </c>
      <c r="F48" t="s">
        <v>12</v>
      </c>
      <c r="G48">
        <v>45098</v>
      </c>
      <c r="H48">
        <v>1423</v>
      </c>
      <c r="I48">
        <v>6116</v>
      </c>
      <c r="J48">
        <v>37559</v>
      </c>
      <c r="K48">
        <v>52</v>
      </c>
      <c r="L48">
        <v>4546</v>
      </c>
      <c r="M48">
        <v>143</v>
      </c>
      <c r="N48">
        <v>109292</v>
      </c>
      <c r="O48">
        <v>11018</v>
      </c>
      <c r="P48" t="s">
        <v>291</v>
      </c>
    </row>
    <row r="49" spans="1:16" x14ac:dyDescent="0.25">
      <c r="A49" s="3">
        <v>43899</v>
      </c>
      <c r="B49" t="s">
        <v>62</v>
      </c>
      <c r="C49">
        <v>1706669</v>
      </c>
      <c r="D49">
        <v>3900</v>
      </c>
      <c r="E49">
        <v>184</v>
      </c>
      <c r="F49" t="s">
        <v>12</v>
      </c>
      <c r="G49">
        <v>42889</v>
      </c>
      <c r="H49">
        <v>156</v>
      </c>
      <c r="I49">
        <v>39945</v>
      </c>
      <c r="J49">
        <v>2788</v>
      </c>
      <c r="K49">
        <v>41</v>
      </c>
      <c r="L49">
        <v>25130</v>
      </c>
      <c r="M49">
        <v>91</v>
      </c>
      <c r="N49">
        <v>876700</v>
      </c>
      <c r="O49">
        <v>513691</v>
      </c>
      <c r="P49" t="s">
        <v>293</v>
      </c>
    </row>
    <row r="50" spans="1:16" x14ac:dyDescent="0.25">
      <c r="A50" s="3">
        <v>43900</v>
      </c>
      <c r="B50" t="s">
        <v>63</v>
      </c>
      <c r="C50">
        <v>126435859</v>
      </c>
      <c r="D50">
        <v>5024</v>
      </c>
      <c r="E50">
        <v>279</v>
      </c>
      <c r="F50" t="s">
        <v>10</v>
      </c>
      <c r="G50">
        <v>42263</v>
      </c>
      <c r="H50">
        <v>1026</v>
      </c>
      <c r="I50">
        <v>28877</v>
      </c>
      <c r="J50">
        <v>12360</v>
      </c>
      <c r="K50">
        <v>115</v>
      </c>
      <c r="L50">
        <v>334</v>
      </c>
      <c r="M50">
        <v>8</v>
      </c>
      <c r="N50">
        <v>938739</v>
      </c>
      <c r="O50">
        <v>7425</v>
      </c>
      <c r="P50" t="s">
        <v>293</v>
      </c>
    </row>
    <row r="51" spans="1:16" x14ac:dyDescent="0.25">
      <c r="A51" s="3">
        <v>43901</v>
      </c>
      <c r="B51" t="s">
        <v>64</v>
      </c>
      <c r="C51">
        <v>2963811</v>
      </c>
      <c r="D51">
        <v>7663</v>
      </c>
      <c r="E51">
        <v>344</v>
      </c>
      <c r="F51" t="s">
        <v>18</v>
      </c>
      <c r="G51">
        <v>39819</v>
      </c>
      <c r="H51">
        <v>772</v>
      </c>
      <c r="I51">
        <v>31556</v>
      </c>
      <c r="J51">
        <v>7491</v>
      </c>
      <c r="K51">
        <v>0</v>
      </c>
      <c r="L51">
        <v>13435</v>
      </c>
      <c r="M51">
        <v>260</v>
      </c>
      <c r="N51">
        <v>171600</v>
      </c>
      <c r="O51">
        <v>57898</v>
      </c>
      <c r="P51" t="s">
        <v>293</v>
      </c>
    </row>
    <row r="52" spans="1:16" x14ac:dyDescent="0.25">
      <c r="A52" s="3">
        <v>43902</v>
      </c>
      <c r="B52" t="s">
        <v>65</v>
      </c>
      <c r="C52">
        <v>31133483</v>
      </c>
      <c r="D52">
        <v>5750</v>
      </c>
      <c r="E52">
        <v>305</v>
      </c>
      <c r="F52" t="s">
        <v>18</v>
      </c>
      <c r="G52">
        <v>39642</v>
      </c>
      <c r="H52">
        <v>199</v>
      </c>
      <c r="I52">
        <v>36384</v>
      </c>
      <c r="J52">
        <v>3059</v>
      </c>
      <c r="K52">
        <v>7</v>
      </c>
      <c r="L52">
        <v>1273</v>
      </c>
      <c r="M52">
        <v>6</v>
      </c>
      <c r="N52">
        <v>405817</v>
      </c>
      <c r="O52">
        <v>13035</v>
      </c>
      <c r="P52" t="s">
        <v>14</v>
      </c>
    </row>
    <row r="53" spans="1:16" x14ac:dyDescent="0.25">
      <c r="A53" s="3">
        <v>43903</v>
      </c>
      <c r="B53" t="s">
        <v>66</v>
      </c>
      <c r="C53">
        <v>6534479</v>
      </c>
      <c r="D53">
        <v>14405</v>
      </c>
      <c r="E53">
        <v>497</v>
      </c>
      <c r="F53" t="s">
        <v>18</v>
      </c>
      <c r="G53">
        <v>38659</v>
      </c>
      <c r="H53">
        <v>1447</v>
      </c>
      <c r="I53">
        <v>30099</v>
      </c>
      <c r="J53">
        <v>7113</v>
      </c>
      <c r="K53">
        <v>24</v>
      </c>
      <c r="L53">
        <v>5916</v>
      </c>
      <c r="M53">
        <v>221</v>
      </c>
      <c r="N53">
        <v>267718</v>
      </c>
      <c r="O53">
        <v>40970</v>
      </c>
      <c r="P53" t="s">
        <v>293</v>
      </c>
    </row>
    <row r="54" spans="1:16" x14ac:dyDescent="0.25">
      <c r="A54" s="3">
        <v>43904</v>
      </c>
      <c r="B54" t="s">
        <v>67</v>
      </c>
      <c r="C54">
        <v>39009447</v>
      </c>
      <c r="D54">
        <v>11106</v>
      </c>
      <c r="E54">
        <v>417</v>
      </c>
      <c r="F54" t="s">
        <v>10</v>
      </c>
      <c r="G54">
        <v>36896</v>
      </c>
      <c r="H54">
        <v>1298</v>
      </c>
      <c r="I54">
        <v>25840</v>
      </c>
      <c r="J54">
        <v>9758</v>
      </c>
      <c r="K54">
        <v>31</v>
      </c>
      <c r="L54">
        <v>946</v>
      </c>
      <c r="M54">
        <v>33</v>
      </c>
      <c r="N54">
        <v>90396</v>
      </c>
      <c r="O54">
        <v>2317</v>
      </c>
      <c r="P54" t="s">
        <v>293</v>
      </c>
    </row>
    <row r="55" spans="1:16" x14ac:dyDescent="0.25">
      <c r="A55" s="3">
        <v>43905</v>
      </c>
      <c r="B55" t="s">
        <v>68</v>
      </c>
      <c r="C55">
        <v>8660952</v>
      </c>
      <c r="D55">
        <v>11146</v>
      </c>
      <c r="E55">
        <v>641</v>
      </c>
      <c r="F55" t="s">
        <v>18</v>
      </c>
      <c r="G55">
        <v>36108</v>
      </c>
      <c r="H55">
        <v>1985</v>
      </c>
      <c r="I55">
        <v>31600</v>
      </c>
      <c r="J55">
        <v>2523</v>
      </c>
      <c r="K55">
        <v>23</v>
      </c>
      <c r="L55">
        <v>4169</v>
      </c>
      <c r="M55">
        <v>229</v>
      </c>
      <c r="N55">
        <v>822764</v>
      </c>
      <c r="O55">
        <v>94997</v>
      </c>
      <c r="P55" t="s">
        <v>12</v>
      </c>
    </row>
    <row r="56" spans="1:16" x14ac:dyDescent="0.25">
      <c r="A56" s="3">
        <v>43906</v>
      </c>
      <c r="B56" t="s">
        <v>69</v>
      </c>
      <c r="C56">
        <v>43926079</v>
      </c>
      <c r="D56">
        <v>14659</v>
      </c>
      <c r="E56">
        <v>680</v>
      </c>
      <c r="F56" t="s">
        <v>14</v>
      </c>
      <c r="G56">
        <v>33626</v>
      </c>
      <c r="H56">
        <v>1273</v>
      </c>
      <c r="I56">
        <v>23238</v>
      </c>
      <c r="J56">
        <v>9115</v>
      </c>
      <c r="K56">
        <v>57</v>
      </c>
      <c r="L56">
        <v>766</v>
      </c>
      <c r="M56">
        <v>29</v>
      </c>
      <c r="N56">
        <v>0</v>
      </c>
      <c r="O56">
        <v>0</v>
      </c>
      <c r="P56" t="s">
        <v>14</v>
      </c>
    </row>
    <row r="57" spans="1:16" x14ac:dyDescent="0.25">
      <c r="A57" s="3">
        <v>43907</v>
      </c>
      <c r="B57" t="s">
        <v>70</v>
      </c>
      <c r="C57">
        <v>10148243</v>
      </c>
      <c r="D57">
        <v>15838</v>
      </c>
      <c r="E57">
        <v>804</v>
      </c>
      <c r="F57" t="s">
        <v>14</v>
      </c>
      <c r="G57">
        <v>33247</v>
      </c>
      <c r="H57">
        <v>479</v>
      </c>
      <c r="I57">
        <v>29275</v>
      </c>
      <c r="J57">
        <v>3493</v>
      </c>
      <c r="K57">
        <v>66</v>
      </c>
      <c r="L57">
        <v>3276</v>
      </c>
      <c r="M57">
        <v>47</v>
      </c>
      <c r="N57">
        <v>766179</v>
      </c>
      <c r="O57">
        <v>75499</v>
      </c>
      <c r="P57" t="s">
        <v>293</v>
      </c>
    </row>
    <row r="58" spans="1:16" x14ac:dyDescent="0.25">
      <c r="A58" s="3">
        <v>43908</v>
      </c>
      <c r="B58" t="s">
        <v>71</v>
      </c>
      <c r="C58">
        <v>36953359</v>
      </c>
      <c r="D58">
        <v>19586</v>
      </c>
      <c r="E58">
        <v>897</v>
      </c>
      <c r="F58" t="s">
        <v>12</v>
      </c>
      <c r="G58">
        <v>29644</v>
      </c>
      <c r="H58">
        <v>449</v>
      </c>
      <c r="I58">
        <v>20553</v>
      </c>
      <c r="J58">
        <v>8642</v>
      </c>
      <c r="K58">
        <v>31</v>
      </c>
      <c r="L58">
        <v>802</v>
      </c>
      <c r="M58">
        <v>12</v>
      </c>
      <c r="N58">
        <v>1383816</v>
      </c>
      <c r="O58">
        <v>37448</v>
      </c>
      <c r="P58" t="s">
        <v>14</v>
      </c>
    </row>
    <row r="59" spans="1:16" x14ac:dyDescent="0.25">
      <c r="A59" s="3">
        <v>43909</v>
      </c>
      <c r="B59" t="s">
        <v>72</v>
      </c>
      <c r="C59">
        <v>33516027</v>
      </c>
      <c r="D59">
        <v>27918</v>
      </c>
      <c r="E59">
        <v>1106</v>
      </c>
      <c r="F59" t="s">
        <v>14</v>
      </c>
      <c r="G59">
        <v>28315</v>
      </c>
      <c r="H59">
        <v>175</v>
      </c>
      <c r="I59">
        <v>19291</v>
      </c>
      <c r="J59">
        <v>8849</v>
      </c>
      <c r="K59">
        <v>228</v>
      </c>
      <c r="L59">
        <v>845</v>
      </c>
      <c r="M59">
        <v>5</v>
      </c>
      <c r="N59">
        <v>1377915</v>
      </c>
      <c r="O59">
        <v>41112</v>
      </c>
      <c r="P59" t="s">
        <v>293</v>
      </c>
    </row>
    <row r="60" spans="1:16" x14ac:dyDescent="0.25">
      <c r="A60" s="3">
        <v>43910</v>
      </c>
      <c r="B60" t="s">
        <v>73</v>
      </c>
      <c r="C60">
        <v>8733665</v>
      </c>
      <c r="D60">
        <v>29608</v>
      </c>
      <c r="E60">
        <v>1478</v>
      </c>
      <c r="F60" t="s">
        <v>14</v>
      </c>
      <c r="G60">
        <v>27332</v>
      </c>
      <c r="H60">
        <v>621</v>
      </c>
      <c r="I60">
        <v>14047</v>
      </c>
      <c r="J60">
        <v>12664</v>
      </c>
      <c r="K60">
        <v>120</v>
      </c>
      <c r="L60">
        <v>3129</v>
      </c>
      <c r="M60">
        <v>71</v>
      </c>
      <c r="N60">
        <v>723137</v>
      </c>
      <c r="O60">
        <v>82799</v>
      </c>
      <c r="P60" t="s">
        <v>12</v>
      </c>
    </row>
    <row r="61" spans="1:16" x14ac:dyDescent="0.25">
      <c r="A61" s="3">
        <v>43911</v>
      </c>
      <c r="B61" t="s">
        <v>74</v>
      </c>
      <c r="C61">
        <v>4032983</v>
      </c>
      <c r="D61">
        <v>32306</v>
      </c>
      <c r="E61">
        <v>1705</v>
      </c>
      <c r="F61" t="s">
        <v>22</v>
      </c>
      <c r="G61">
        <v>26628</v>
      </c>
      <c r="H61">
        <v>828</v>
      </c>
      <c r="I61">
        <v>18676</v>
      </c>
      <c r="J61">
        <v>7124</v>
      </c>
      <c r="K61">
        <v>362</v>
      </c>
      <c r="L61">
        <v>6603</v>
      </c>
      <c r="M61">
        <v>205</v>
      </c>
      <c r="N61">
        <v>128076</v>
      </c>
      <c r="O61">
        <v>31757</v>
      </c>
      <c r="P61" t="s">
        <v>12</v>
      </c>
    </row>
    <row r="62" spans="1:16" x14ac:dyDescent="0.25">
      <c r="A62" s="3">
        <v>43912</v>
      </c>
      <c r="B62" t="s">
        <v>75</v>
      </c>
      <c r="C62">
        <v>4943200</v>
      </c>
      <c r="D62">
        <v>33410</v>
      </c>
      <c r="E62">
        <v>1697</v>
      </c>
      <c r="F62" t="s">
        <v>12</v>
      </c>
      <c r="G62">
        <v>26372</v>
      </c>
      <c r="H62">
        <v>1768</v>
      </c>
      <c r="I62">
        <v>23364</v>
      </c>
      <c r="J62">
        <v>1240</v>
      </c>
      <c r="K62">
        <v>5</v>
      </c>
      <c r="L62">
        <v>5335</v>
      </c>
      <c r="M62">
        <v>358</v>
      </c>
      <c r="N62">
        <v>652917</v>
      </c>
      <c r="O62">
        <v>132084</v>
      </c>
      <c r="P62" t="s">
        <v>12</v>
      </c>
    </row>
    <row r="63" spans="1:16" x14ac:dyDescent="0.25">
      <c r="A63" s="3">
        <v>43913</v>
      </c>
      <c r="B63" t="s">
        <v>76</v>
      </c>
      <c r="C63">
        <v>53881160</v>
      </c>
      <c r="D63">
        <v>42165</v>
      </c>
      <c r="E63">
        <v>1917</v>
      </c>
      <c r="F63" t="s">
        <v>12</v>
      </c>
      <c r="G63">
        <v>24411</v>
      </c>
      <c r="H63">
        <v>399</v>
      </c>
      <c r="I63">
        <v>10444</v>
      </c>
      <c r="J63">
        <v>13568</v>
      </c>
      <c r="K63">
        <v>44</v>
      </c>
      <c r="L63">
        <v>453</v>
      </c>
      <c r="M63">
        <v>7</v>
      </c>
      <c r="N63">
        <v>335318</v>
      </c>
      <c r="O63">
        <v>6223</v>
      </c>
      <c r="P63" t="s">
        <v>14</v>
      </c>
    </row>
    <row r="64" spans="1:16" x14ac:dyDescent="0.25">
      <c r="A64" s="3">
        <v>43914</v>
      </c>
      <c r="B64" t="s">
        <v>77</v>
      </c>
      <c r="C64">
        <v>28427499</v>
      </c>
      <c r="D64">
        <v>41154</v>
      </c>
      <c r="E64">
        <v>2268</v>
      </c>
      <c r="F64" t="s">
        <v>14</v>
      </c>
      <c r="G64">
        <v>22299</v>
      </c>
      <c r="H64">
        <v>195</v>
      </c>
      <c r="I64">
        <v>12146</v>
      </c>
      <c r="J64">
        <v>9958</v>
      </c>
      <c r="K64">
        <v>42</v>
      </c>
      <c r="L64">
        <v>784</v>
      </c>
      <c r="M64">
        <v>7</v>
      </c>
      <c r="N64">
        <v>1567431</v>
      </c>
      <c r="O64">
        <v>55138</v>
      </c>
      <c r="P64" t="s">
        <v>292</v>
      </c>
    </row>
    <row r="65" spans="1:16" x14ac:dyDescent="0.25">
      <c r="A65" s="3">
        <v>43915</v>
      </c>
      <c r="B65" t="s">
        <v>78</v>
      </c>
      <c r="C65">
        <v>29186486</v>
      </c>
      <c r="D65">
        <v>50817</v>
      </c>
      <c r="E65">
        <v>2777</v>
      </c>
      <c r="F65" t="s">
        <v>14</v>
      </c>
      <c r="G65">
        <v>21750</v>
      </c>
      <c r="H65">
        <v>65</v>
      </c>
      <c r="I65">
        <v>15389</v>
      </c>
      <c r="J65">
        <v>6296</v>
      </c>
      <c r="K65">
        <v>0</v>
      </c>
      <c r="L65">
        <v>745</v>
      </c>
      <c r="M65">
        <v>2</v>
      </c>
      <c r="N65">
        <v>731977</v>
      </c>
      <c r="O65">
        <v>25079</v>
      </c>
      <c r="P65" t="s">
        <v>293</v>
      </c>
    </row>
    <row r="66" spans="1:16" x14ac:dyDescent="0.25">
      <c r="A66" s="3">
        <v>43916</v>
      </c>
      <c r="B66" t="s">
        <v>79</v>
      </c>
      <c r="C66">
        <v>9011577</v>
      </c>
      <c r="D66">
        <v>62960</v>
      </c>
      <c r="E66">
        <v>3007</v>
      </c>
      <c r="F66" t="s">
        <v>12</v>
      </c>
      <c r="G66">
        <v>21696</v>
      </c>
      <c r="H66">
        <v>719</v>
      </c>
      <c r="I66">
        <v>19596</v>
      </c>
      <c r="J66">
        <v>1381</v>
      </c>
      <c r="K66">
        <v>25</v>
      </c>
      <c r="L66">
        <v>2408</v>
      </c>
      <c r="M66">
        <v>80</v>
      </c>
      <c r="N66">
        <v>937275</v>
      </c>
      <c r="O66">
        <v>104008</v>
      </c>
      <c r="P66" t="s">
        <v>12</v>
      </c>
    </row>
    <row r="67" spans="1:16" x14ac:dyDescent="0.25">
      <c r="A67" s="3">
        <v>43917</v>
      </c>
      <c r="B67" t="s">
        <v>80</v>
      </c>
      <c r="C67">
        <v>5098730</v>
      </c>
      <c r="D67">
        <v>64400</v>
      </c>
      <c r="E67">
        <v>3518</v>
      </c>
      <c r="F67" t="s">
        <v>12</v>
      </c>
      <c r="G67">
        <v>21070</v>
      </c>
      <c r="H67">
        <v>200</v>
      </c>
      <c r="I67">
        <v>7038</v>
      </c>
      <c r="J67">
        <v>13832</v>
      </c>
      <c r="K67">
        <v>103</v>
      </c>
      <c r="L67">
        <v>4132</v>
      </c>
      <c r="M67">
        <v>39</v>
      </c>
      <c r="N67">
        <v>96110</v>
      </c>
      <c r="O67">
        <v>18850</v>
      </c>
      <c r="P67" t="s">
        <v>291</v>
      </c>
    </row>
    <row r="68" spans="1:16" x14ac:dyDescent="0.25">
      <c r="A68" s="3">
        <v>43918</v>
      </c>
      <c r="B68" t="s">
        <v>81</v>
      </c>
      <c r="C68">
        <v>115223736</v>
      </c>
      <c r="D68">
        <v>67657</v>
      </c>
      <c r="E68">
        <v>3679</v>
      </c>
      <c r="F68" t="s">
        <v>14</v>
      </c>
      <c r="G68">
        <v>20900</v>
      </c>
      <c r="H68">
        <v>365</v>
      </c>
      <c r="I68">
        <v>9027</v>
      </c>
      <c r="J68">
        <v>11508</v>
      </c>
      <c r="K68">
        <v>185</v>
      </c>
      <c r="L68">
        <v>181</v>
      </c>
      <c r="M68">
        <v>3</v>
      </c>
      <c r="N68">
        <v>468814</v>
      </c>
      <c r="O68">
        <v>4069</v>
      </c>
      <c r="P68" t="s">
        <v>14</v>
      </c>
    </row>
    <row r="69" spans="1:16" x14ac:dyDescent="0.25">
      <c r="A69" s="3">
        <v>43919</v>
      </c>
      <c r="B69" t="s">
        <v>82</v>
      </c>
      <c r="C69">
        <v>25528864</v>
      </c>
      <c r="D69">
        <v>59577</v>
      </c>
      <c r="E69">
        <v>3473</v>
      </c>
      <c r="F69" t="s">
        <v>12</v>
      </c>
      <c r="G69">
        <v>19890</v>
      </c>
      <c r="H69">
        <v>255</v>
      </c>
      <c r="I69">
        <v>10941</v>
      </c>
      <c r="J69">
        <v>8694</v>
      </c>
      <c r="K69">
        <v>52</v>
      </c>
      <c r="L69">
        <v>779</v>
      </c>
      <c r="M69">
        <v>10</v>
      </c>
      <c r="N69">
        <v>4631419</v>
      </c>
      <c r="O69">
        <v>181419</v>
      </c>
      <c r="P69" t="s">
        <v>294</v>
      </c>
    </row>
    <row r="70" spans="1:16" x14ac:dyDescent="0.25">
      <c r="A70" s="3">
        <v>43920</v>
      </c>
      <c r="B70" t="s">
        <v>83</v>
      </c>
      <c r="C70">
        <v>6489514</v>
      </c>
      <c r="D70">
        <v>64639</v>
      </c>
      <c r="E70">
        <v>4164</v>
      </c>
      <c r="F70" t="s">
        <v>12</v>
      </c>
      <c r="G70">
        <v>19126</v>
      </c>
      <c r="H70">
        <v>513</v>
      </c>
      <c r="I70">
        <v>9236</v>
      </c>
      <c r="J70">
        <v>9377</v>
      </c>
      <c r="K70">
        <v>509</v>
      </c>
      <c r="L70">
        <v>2947</v>
      </c>
      <c r="M70">
        <v>79</v>
      </c>
      <c r="N70">
        <v>251271</v>
      </c>
      <c r="O70">
        <v>38720</v>
      </c>
      <c r="P70" t="s">
        <v>291</v>
      </c>
    </row>
    <row r="71" spans="1:16" x14ac:dyDescent="0.25">
      <c r="A71" s="3">
        <v>43921</v>
      </c>
      <c r="B71" t="s">
        <v>84</v>
      </c>
      <c r="C71">
        <v>10711019</v>
      </c>
      <c r="D71">
        <v>76416</v>
      </c>
      <c r="E71">
        <v>4844</v>
      </c>
      <c r="F71" t="s">
        <v>18</v>
      </c>
      <c r="G71">
        <v>17731</v>
      </c>
      <c r="H71">
        <v>390</v>
      </c>
      <c r="I71">
        <v>12320</v>
      </c>
      <c r="J71">
        <v>5021</v>
      </c>
      <c r="K71">
        <v>17</v>
      </c>
      <c r="L71">
        <v>1655</v>
      </c>
      <c r="M71">
        <v>36</v>
      </c>
      <c r="N71">
        <v>728670</v>
      </c>
      <c r="O71">
        <v>68030</v>
      </c>
      <c r="P71" t="s">
        <v>12</v>
      </c>
    </row>
    <row r="72" spans="1:16" x14ac:dyDescent="0.25">
      <c r="A72" s="3">
        <v>43922</v>
      </c>
      <c r="B72" t="s">
        <v>85</v>
      </c>
      <c r="C72">
        <v>26606188</v>
      </c>
      <c r="D72">
        <v>76214</v>
      </c>
      <c r="E72">
        <v>5551</v>
      </c>
      <c r="F72" t="s">
        <v>18</v>
      </c>
      <c r="G72">
        <v>17718</v>
      </c>
      <c r="H72">
        <v>391</v>
      </c>
      <c r="I72">
        <v>15320</v>
      </c>
      <c r="J72">
        <v>2007</v>
      </c>
      <c r="K72">
        <v>30</v>
      </c>
      <c r="L72">
        <v>666</v>
      </c>
      <c r="M72">
        <v>15</v>
      </c>
      <c r="N72">
        <v>149000</v>
      </c>
      <c r="O72">
        <v>5600</v>
      </c>
      <c r="P72" t="s">
        <v>14</v>
      </c>
    </row>
    <row r="73" spans="1:16" x14ac:dyDescent="0.25">
      <c r="A73" s="3">
        <v>43923</v>
      </c>
      <c r="B73" t="s">
        <v>86</v>
      </c>
      <c r="C73">
        <v>26437950</v>
      </c>
      <c r="D73">
        <v>81399</v>
      </c>
      <c r="E73">
        <v>6305</v>
      </c>
      <c r="F73" t="s">
        <v>14</v>
      </c>
      <c r="G73">
        <v>16447</v>
      </c>
      <c r="H73">
        <v>103</v>
      </c>
      <c r="I73">
        <v>12484</v>
      </c>
      <c r="J73">
        <v>3860</v>
      </c>
      <c r="K73">
        <v>0</v>
      </c>
      <c r="L73">
        <v>622</v>
      </c>
      <c r="M73">
        <v>4</v>
      </c>
      <c r="N73">
        <v>104584</v>
      </c>
      <c r="O73">
        <v>3956</v>
      </c>
      <c r="P73" t="s">
        <v>14</v>
      </c>
    </row>
    <row r="74" spans="1:16" x14ac:dyDescent="0.25">
      <c r="A74" s="3">
        <v>43924</v>
      </c>
      <c r="B74" t="s">
        <v>87</v>
      </c>
      <c r="C74">
        <v>51273732</v>
      </c>
      <c r="D74">
        <v>83155</v>
      </c>
      <c r="E74">
        <v>5985</v>
      </c>
      <c r="F74" t="s">
        <v>14</v>
      </c>
      <c r="G74">
        <v>14519</v>
      </c>
      <c r="H74">
        <v>303</v>
      </c>
      <c r="I74">
        <v>13543</v>
      </c>
      <c r="J74">
        <v>673</v>
      </c>
      <c r="K74">
        <v>18</v>
      </c>
      <c r="L74">
        <v>283</v>
      </c>
      <c r="M74">
        <v>6</v>
      </c>
      <c r="N74">
        <v>1613652</v>
      </c>
      <c r="O74">
        <v>31471</v>
      </c>
      <c r="P74" t="s">
        <v>293</v>
      </c>
    </row>
    <row r="75" spans="1:16" x14ac:dyDescent="0.25">
      <c r="A75" s="3">
        <v>43925</v>
      </c>
      <c r="B75" t="s">
        <v>88</v>
      </c>
      <c r="C75">
        <v>5794279</v>
      </c>
      <c r="D75">
        <v>80463</v>
      </c>
      <c r="E75">
        <v>5841</v>
      </c>
      <c r="F75" t="s">
        <v>18</v>
      </c>
      <c r="G75">
        <v>14306</v>
      </c>
      <c r="H75">
        <v>617</v>
      </c>
      <c r="I75">
        <v>12787</v>
      </c>
      <c r="J75">
        <v>902</v>
      </c>
      <c r="K75">
        <v>2</v>
      </c>
      <c r="L75">
        <v>2469</v>
      </c>
      <c r="M75">
        <v>106</v>
      </c>
      <c r="N75">
        <v>1654512</v>
      </c>
      <c r="O75">
        <v>285542</v>
      </c>
      <c r="P75" t="s">
        <v>12</v>
      </c>
    </row>
    <row r="76" spans="1:16" x14ac:dyDescent="0.25">
      <c r="A76" s="3">
        <v>43926</v>
      </c>
      <c r="B76" t="s">
        <v>89</v>
      </c>
      <c r="C76">
        <v>5112340</v>
      </c>
      <c r="D76">
        <v>71718</v>
      </c>
      <c r="E76">
        <v>5021</v>
      </c>
      <c r="F76" t="s">
        <v>18</v>
      </c>
      <c r="G76">
        <v>13398</v>
      </c>
      <c r="H76">
        <v>92</v>
      </c>
      <c r="I76">
        <v>6907</v>
      </c>
      <c r="J76">
        <v>6399</v>
      </c>
      <c r="K76">
        <v>0</v>
      </c>
      <c r="L76">
        <v>2621</v>
      </c>
      <c r="M76">
        <v>18</v>
      </c>
      <c r="N76">
        <v>200280</v>
      </c>
      <c r="O76">
        <v>39176</v>
      </c>
      <c r="P76" t="s">
        <v>293</v>
      </c>
    </row>
    <row r="77" spans="1:16" x14ac:dyDescent="0.25">
      <c r="A77" s="3">
        <v>43927</v>
      </c>
      <c r="B77" t="s">
        <v>90</v>
      </c>
      <c r="C77">
        <v>3278650</v>
      </c>
      <c r="D77">
        <v>72672</v>
      </c>
      <c r="E77">
        <v>5832</v>
      </c>
      <c r="F77" t="s">
        <v>12</v>
      </c>
      <c r="G77">
        <v>13396</v>
      </c>
      <c r="H77">
        <v>384</v>
      </c>
      <c r="I77">
        <v>7042</v>
      </c>
      <c r="J77">
        <v>5970</v>
      </c>
      <c r="K77">
        <v>0</v>
      </c>
      <c r="L77">
        <v>4086</v>
      </c>
      <c r="M77">
        <v>117</v>
      </c>
      <c r="N77">
        <v>147021</v>
      </c>
      <c r="O77">
        <v>44842</v>
      </c>
      <c r="P77" t="s">
        <v>12</v>
      </c>
    </row>
    <row r="78" spans="1:16" x14ac:dyDescent="0.25">
      <c r="A78" s="3">
        <v>43928</v>
      </c>
      <c r="B78" t="s">
        <v>91</v>
      </c>
      <c r="C78">
        <v>6942854</v>
      </c>
      <c r="D78">
        <v>76873</v>
      </c>
      <c r="E78">
        <v>7902</v>
      </c>
      <c r="F78" t="s">
        <v>18</v>
      </c>
      <c r="G78">
        <v>13014</v>
      </c>
      <c r="H78">
        <v>435</v>
      </c>
      <c r="I78">
        <v>7374</v>
      </c>
      <c r="J78">
        <v>5205</v>
      </c>
      <c r="K78">
        <v>47</v>
      </c>
      <c r="L78">
        <v>1874</v>
      </c>
      <c r="M78">
        <v>63</v>
      </c>
      <c r="N78">
        <v>294087</v>
      </c>
      <c r="O78">
        <v>42358</v>
      </c>
      <c r="P78" t="s">
        <v>12</v>
      </c>
    </row>
    <row r="79" spans="1:16" x14ac:dyDescent="0.25">
      <c r="A79" s="3">
        <v>43929</v>
      </c>
      <c r="B79" t="s">
        <v>92</v>
      </c>
      <c r="C79">
        <v>27755708</v>
      </c>
      <c r="D79">
        <v>83775</v>
      </c>
      <c r="E79">
        <v>6735</v>
      </c>
      <c r="F79" t="s">
        <v>12</v>
      </c>
      <c r="G79">
        <v>12526</v>
      </c>
      <c r="H79">
        <v>134</v>
      </c>
      <c r="I79">
        <v>10148</v>
      </c>
      <c r="J79">
        <v>2244</v>
      </c>
      <c r="K79">
        <v>88</v>
      </c>
      <c r="L79">
        <v>451</v>
      </c>
      <c r="M79">
        <v>5</v>
      </c>
      <c r="N79">
        <v>46301</v>
      </c>
      <c r="O79">
        <v>1668</v>
      </c>
      <c r="P79" t="s">
        <v>14</v>
      </c>
    </row>
    <row r="80" spans="1:16" x14ac:dyDescent="0.25">
      <c r="A80" s="3">
        <v>43930</v>
      </c>
      <c r="B80" t="s">
        <v>93</v>
      </c>
      <c r="C80">
        <v>43943536</v>
      </c>
      <c r="D80">
        <v>86625</v>
      </c>
      <c r="E80">
        <v>7629</v>
      </c>
      <c r="F80" t="s">
        <v>12</v>
      </c>
      <c r="G80">
        <v>11780</v>
      </c>
      <c r="H80">
        <v>763</v>
      </c>
      <c r="I80">
        <v>6194</v>
      </c>
      <c r="J80">
        <v>4823</v>
      </c>
      <c r="K80">
        <v>0</v>
      </c>
      <c r="L80">
        <v>268</v>
      </c>
      <c r="M80">
        <v>17</v>
      </c>
      <c r="N80">
        <v>401</v>
      </c>
      <c r="O80">
        <v>9</v>
      </c>
      <c r="P80" t="s">
        <v>14</v>
      </c>
    </row>
    <row r="81" spans="1:16" x14ac:dyDescent="0.25">
      <c r="A81" s="3">
        <v>43931</v>
      </c>
      <c r="B81" t="s">
        <v>94</v>
      </c>
      <c r="C81">
        <v>2083365</v>
      </c>
      <c r="D81">
        <v>87658</v>
      </c>
      <c r="E81">
        <v>7272</v>
      </c>
      <c r="F81" t="s">
        <v>28</v>
      </c>
      <c r="G81">
        <v>11399</v>
      </c>
      <c r="H81">
        <v>517</v>
      </c>
      <c r="I81">
        <v>7480</v>
      </c>
      <c r="J81">
        <v>3402</v>
      </c>
      <c r="K81">
        <v>3</v>
      </c>
      <c r="L81">
        <v>5471</v>
      </c>
      <c r="M81">
        <v>248</v>
      </c>
      <c r="N81">
        <v>109946</v>
      </c>
      <c r="O81">
        <v>52773</v>
      </c>
      <c r="P81" t="s">
        <v>12</v>
      </c>
    </row>
    <row r="82" spans="1:16" x14ac:dyDescent="0.25">
      <c r="A82" s="3">
        <v>43932</v>
      </c>
      <c r="B82" t="s">
        <v>95</v>
      </c>
      <c r="C82">
        <v>16783877</v>
      </c>
      <c r="D82">
        <v>76965</v>
      </c>
      <c r="E82">
        <v>6069</v>
      </c>
      <c r="F82" t="s">
        <v>28</v>
      </c>
      <c r="G82">
        <v>10715</v>
      </c>
      <c r="H82">
        <v>223</v>
      </c>
      <c r="I82">
        <v>7101</v>
      </c>
      <c r="J82">
        <v>3391</v>
      </c>
      <c r="K82">
        <v>33</v>
      </c>
      <c r="L82">
        <v>638</v>
      </c>
      <c r="M82">
        <v>13</v>
      </c>
      <c r="N82">
        <v>114761</v>
      </c>
      <c r="O82">
        <v>6838</v>
      </c>
      <c r="P82" t="s">
        <v>14</v>
      </c>
    </row>
    <row r="83" spans="1:16" x14ac:dyDescent="0.25">
      <c r="A83" s="3">
        <v>43933</v>
      </c>
      <c r="B83" t="s">
        <v>96</v>
      </c>
      <c r="C83">
        <v>5425471</v>
      </c>
      <c r="D83">
        <v>96802</v>
      </c>
      <c r="E83">
        <v>5731</v>
      </c>
      <c r="F83" t="s">
        <v>10</v>
      </c>
      <c r="G83">
        <v>9468</v>
      </c>
      <c r="H83">
        <v>256</v>
      </c>
      <c r="I83">
        <v>8857</v>
      </c>
      <c r="J83">
        <v>355</v>
      </c>
      <c r="K83">
        <v>3</v>
      </c>
      <c r="L83">
        <v>1745</v>
      </c>
      <c r="M83">
        <v>47</v>
      </c>
      <c r="N83">
        <v>472841</v>
      </c>
      <c r="O83">
        <v>87152</v>
      </c>
      <c r="P83" t="s">
        <v>12</v>
      </c>
    </row>
    <row r="84" spans="1:16" x14ac:dyDescent="0.25">
      <c r="A84" s="3">
        <v>43934</v>
      </c>
      <c r="B84" t="s">
        <v>97</v>
      </c>
      <c r="C84">
        <v>89802183</v>
      </c>
      <c r="D84">
        <v>69594</v>
      </c>
      <c r="E84">
        <v>5747</v>
      </c>
      <c r="F84" t="s">
        <v>10</v>
      </c>
      <c r="G84">
        <v>9309</v>
      </c>
      <c r="H84">
        <v>215</v>
      </c>
      <c r="I84">
        <v>8048</v>
      </c>
      <c r="J84">
        <v>1046</v>
      </c>
      <c r="K84">
        <v>0</v>
      </c>
      <c r="L84">
        <v>104</v>
      </c>
      <c r="M84">
        <v>2</v>
      </c>
      <c r="N84">
        <v>0</v>
      </c>
      <c r="O84">
        <v>0</v>
      </c>
      <c r="P84" t="s">
        <v>14</v>
      </c>
    </row>
    <row r="85" spans="1:16" x14ac:dyDescent="0.25">
      <c r="A85" s="3">
        <v>43935</v>
      </c>
      <c r="B85" t="s">
        <v>98</v>
      </c>
      <c r="C85">
        <v>32406372</v>
      </c>
      <c r="D85">
        <v>69927</v>
      </c>
      <c r="E85">
        <v>6898</v>
      </c>
      <c r="F85" t="s">
        <v>12</v>
      </c>
      <c r="G85">
        <v>9038</v>
      </c>
      <c r="H85">
        <v>125</v>
      </c>
      <c r="I85">
        <v>8713</v>
      </c>
      <c r="J85">
        <v>200</v>
      </c>
      <c r="K85">
        <v>2</v>
      </c>
      <c r="L85">
        <v>279</v>
      </c>
      <c r="M85">
        <v>4</v>
      </c>
      <c r="N85">
        <v>991333</v>
      </c>
      <c r="O85">
        <v>30591</v>
      </c>
      <c r="P85" t="s">
        <v>293</v>
      </c>
    </row>
    <row r="86" spans="1:16" x14ac:dyDescent="0.25">
      <c r="A86" s="3">
        <v>43936</v>
      </c>
      <c r="B86" t="s">
        <v>99</v>
      </c>
      <c r="C86">
        <v>299385</v>
      </c>
      <c r="D86">
        <v>80829</v>
      </c>
      <c r="E86">
        <v>8312</v>
      </c>
      <c r="F86" t="s">
        <v>12</v>
      </c>
      <c r="G86">
        <v>8127</v>
      </c>
      <c r="H86">
        <v>47</v>
      </c>
      <c r="I86">
        <v>7240</v>
      </c>
      <c r="J86">
        <v>840</v>
      </c>
      <c r="K86">
        <v>23</v>
      </c>
      <c r="L86">
        <v>27146</v>
      </c>
      <c r="M86">
        <v>157</v>
      </c>
      <c r="N86">
        <v>41412</v>
      </c>
      <c r="O86">
        <v>138324</v>
      </c>
      <c r="P86" t="s">
        <v>292</v>
      </c>
    </row>
    <row r="87" spans="1:16" x14ac:dyDescent="0.25">
      <c r="A87" s="3">
        <v>43937</v>
      </c>
      <c r="B87" t="s">
        <v>100</v>
      </c>
      <c r="C87">
        <v>2230563</v>
      </c>
      <c r="D87">
        <v>96712</v>
      </c>
      <c r="E87">
        <v>7283</v>
      </c>
      <c r="F87" t="s">
        <v>12</v>
      </c>
      <c r="G87">
        <v>7787</v>
      </c>
      <c r="H87">
        <v>51</v>
      </c>
      <c r="I87">
        <v>5609</v>
      </c>
      <c r="J87">
        <v>2127</v>
      </c>
      <c r="K87">
        <v>11</v>
      </c>
      <c r="L87">
        <v>3491</v>
      </c>
      <c r="M87">
        <v>23</v>
      </c>
      <c r="N87">
        <v>85369</v>
      </c>
      <c r="O87">
        <v>38272</v>
      </c>
      <c r="P87" t="s">
        <v>14</v>
      </c>
    </row>
    <row r="88" spans="1:16" x14ac:dyDescent="0.25">
      <c r="A88" s="3">
        <v>43938</v>
      </c>
      <c r="B88" t="s">
        <v>101</v>
      </c>
      <c r="C88">
        <v>9557468</v>
      </c>
      <c r="D88">
        <v>87724</v>
      </c>
      <c r="E88">
        <v>8890</v>
      </c>
      <c r="F88" t="s">
        <v>18</v>
      </c>
      <c r="G88">
        <v>7665</v>
      </c>
      <c r="H88">
        <v>62</v>
      </c>
      <c r="I88">
        <v>6443</v>
      </c>
      <c r="J88">
        <v>1160</v>
      </c>
      <c r="K88">
        <v>0</v>
      </c>
      <c r="L88">
        <v>802</v>
      </c>
      <c r="M88">
        <v>6</v>
      </c>
      <c r="N88">
        <v>0</v>
      </c>
      <c r="O88">
        <v>0</v>
      </c>
      <c r="P88" t="s">
        <v>293</v>
      </c>
    </row>
    <row r="89" spans="1:16" x14ac:dyDescent="0.25">
      <c r="A89" s="3">
        <v>43939</v>
      </c>
      <c r="B89" t="s">
        <v>102</v>
      </c>
      <c r="C89">
        <v>13164905</v>
      </c>
      <c r="D89">
        <v>73958</v>
      </c>
      <c r="E89">
        <v>6471</v>
      </c>
      <c r="F89" t="s">
        <v>22</v>
      </c>
      <c r="G89">
        <v>7664</v>
      </c>
      <c r="H89">
        <v>49</v>
      </c>
      <c r="I89">
        <v>6757</v>
      </c>
      <c r="J89">
        <v>858</v>
      </c>
      <c r="K89">
        <v>24</v>
      </c>
      <c r="L89">
        <v>582</v>
      </c>
      <c r="M89">
        <v>4</v>
      </c>
      <c r="N89">
        <v>14407</v>
      </c>
      <c r="O89">
        <v>1094</v>
      </c>
      <c r="P89" t="s">
        <v>14</v>
      </c>
    </row>
    <row r="90" spans="1:16" x14ac:dyDescent="0.25">
      <c r="A90" s="3">
        <v>43940</v>
      </c>
      <c r="B90" t="s">
        <v>103</v>
      </c>
      <c r="C90">
        <v>11416103</v>
      </c>
      <c r="D90">
        <v>80523</v>
      </c>
      <c r="E90">
        <v>4570</v>
      </c>
      <c r="F90" t="s">
        <v>10</v>
      </c>
      <c r="G90">
        <v>7544</v>
      </c>
      <c r="H90">
        <v>171</v>
      </c>
      <c r="I90">
        <v>4832</v>
      </c>
      <c r="J90">
        <v>2541</v>
      </c>
      <c r="K90">
        <v>0</v>
      </c>
      <c r="L90">
        <v>661</v>
      </c>
      <c r="M90">
        <v>15</v>
      </c>
      <c r="N90">
        <v>18443</v>
      </c>
      <c r="O90">
        <v>1616</v>
      </c>
      <c r="P90" t="s">
        <v>291</v>
      </c>
    </row>
    <row r="91" spans="1:16" x14ac:dyDescent="0.25">
      <c r="A91" s="3">
        <v>43941</v>
      </c>
      <c r="B91" t="s">
        <v>104</v>
      </c>
      <c r="C91">
        <v>5541604</v>
      </c>
      <c r="D91">
        <v>73339</v>
      </c>
      <c r="E91">
        <v>5443</v>
      </c>
      <c r="F91" t="s">
        <v>12</v>
      </c>
      <c r="G91">
        <v>7532</v>
      </c>
      <c r="H91">
        <v>331</v>
      </c>
      <c r="I91">
        <v>6980</v>
      </c>
      <c r="J91">
        <v>221</v>
      </c>
      <c r="K91">
        <v>0</v>
      </c>
      <c r="L91">
        <v>1359</v>
      </c>
      <c r="M91">
        <v>60</v>
      </c>
      <c r="N91">
        <v>389500</v>
      </c>
      <c r="O91">
        <v>70287</v>
      </c>
      <c r="P91" t="s">
        <v>12</v>
      </c>
    </row>
    <row r="92" spans="1:16" x14ac:dyDescent="0.25">
      <c r="A92" s="3">
        <v>43942</v>
      </c>
      <c r="B92" t="s">
        <v>105</v>
      </c>
      <c r="C92">
        <v>18430129</v>
      </c>
      <c r="D92">
        <v>75250</v>
      </c>
      <c r="E92">
        <v>7157</v>
      </c>
      <c r="F92" t="s">
        <v>14</v>
      </c>
      <c r="G92">
        <v>7164</v>
      </c>
      <c r="H92">
        <v>199</v>
      </c>
      <c r="I92">
        <v>5786</v>
      </c>
      <c r="J92">
        <v>1179</v>
      </c>
      <c r="K92">
        <v>0</v>
      </c>
      <c r="L92">
        <v>389</v>
      </c>
      <c r="M92">
        <v>11</v>
      </c>
      <c r="N92">
        <v>90307</v>
      </c>
      <c r="O92">
        <v>4900</v>
      </c>
      <c r="P92" t="s">
        <v>14</v>
      </c>
    </row>
    <row r="93" spans="1:16" x14ac:dyDescent="0.25">
      <c r="A93" s="3">
        <v>43943</v>
      </c>
      <c r="B93" t="s">
        <v>106</v>
      </c>
      <c r="C93">
        <v>626952</v>
      </c>
      <c r="D93">
        <v>78994</v>
      </c>
      <c r="E93">
        <v>6755</v>
      </c>
      <c r="F93" t="s">
        <v>12</v>
      </c>
      <c r="G93">
        <v>7073</v>
      </c>
      <c r="H93">
        <v>119</v>
      </c>
      <c r="I93">
        <v>5750</v>
      </c>
      <c r="J93">
        <v>1204</v>
      </c>
      <c r="K93">
        <v>9</v>
      </c>
      <c r="L93">
        <v>11282</v>
      </c>
      <c r="M93">
        <v>190</v>
      </c>
      <c r="N93">
        <v>623994</v>
      </c>
      <c r="O93">
        <v>995282</v>
      </c>
      <c r="P93" t="s">
        <v>12</v>
      </c>
    </row>
    <row r="94" spans="1:16" x14ac:dyDescent="0.25">
      <c r="A94" s="3">
        <v>43944</v>
      </c>
      <c r="B94" t="s">
        <v>107</v>
      </c>
      <c r="C94">
        <v>4660728</v>
      </c>
      <c r="D94">
        <v>89013</v>
      </c>
      <c r="E94">
        <v>6850</v>
      </c>
      <c r="F94" t="s">
        <v>10</v>
      </c>
      <c r="G94">
        <v>6444</v>
      </c>
      <c r="H94">
        <v>157</v>
      </c>
      <c r="I94">
        <v>5291</v>
      </c>
      <c r="J94">
        <v>996</v>
      </c>
      <c r="K94">
        <v>3</v>
      </c>
      <c r="L94">
        <v>1383</v>
      </c>
      <c r="M94">
        <v>34</v>
      </c>
      <c r="N94">
        <v>57387</v>
      </c>
      <c r="O94">
        <v>12313</v>
      </c>
      <c r="P94" t="s">
        <v>14</v>
      </c>
    </row>
    <row r="95" spans="1:16" x14ac:dyDescent="0.25">
      <c r="A95" s="3">
        <v>43945</v>
      </c>
      <c r="B95" t="s">
        <v>108</v>
      </c>
      <c r="C95">
        <v>7141091</v>
      </c>
      <c r="D95">
        <v>96974</v>
      </c>
      <c r="E95">
        <v>6674</v>
      </c>
      <c r="F95" t="s">
        <v>12</v>
      </c>
      <c r="G95">
        <v>6375</v>
      </c>
      <c r="H95">
        <v>66</v>
      </c>
      <c r="I95">
        <v>4974</v>
      </c>
      <c r="J95">
        <v>1335</v>
      </c>
      <c r="K95">
        <v>23</v>
      </c>
      <c r="L95">
        <v>893</v>
      </c>
      <c r="M95">
        <v>9</v>
      </c>
      <c r="N95">
        <v>135277</v>
      </c>
      <c r="O95">
        <v>18943</v>
      </c>
      <c r="P95" t="s">
        <v>292</v>
      </c>
    </row>
    <row r="96" spans="1:16" x14ac:dyDescent="0.25">
      <c r="A96" s="3">
        <v>43946</v>
      </c>
      <c r="B96" t="s">
        <v>109</v>
      </c>
      <c r="C96">
        <v>2877470</v>
      </c>
      <c r="D96">
        <v>84932</v>
      </c>
      <c r="E96">
        <v>5578</v>
      </c>
      <c r="F96" t="s">
        <v>22</v>
      </c>
      <c r="G96">
        <v>6016</v>
      </c>
      <c r="H96">
        <v>188</v>
      </c>
      <c r="I96">
        <v>3155</v>
      </c>
      <c r="J96">
        <v>2673</v>
      </c>
      <c r="K96">
        <v>23</v>
      </c>
      <c r="L96">
        <v>2091</v>
      </c>
      <c r="M96">
        <v>65</v>
      </c>
      <c r="N96">
        <v>38997</v>
      </c>
      <c r="O96">
        <v>13553</v>
      </c>
      <c r="P96" t="s">
        <v>12</v>
      </c>
    </row>
    <row r="97" spans="1:16" x14ac:dyDescent="0.25">
      <c r="A97" s="3">
        <v>43947</v>
      </c>
      <c r="B97" t="s">
        <v>110</v>
      </c>
      <c r="C97">
        <v>6822220</v>
      </c>
      <c r="D97">
        <v>72948</v>
      </c>
      <c r="E97">
        <v>3883</v>
      </c>
      <c r="F97" t="s">
        <v>12</v>
      </c>
      <c r="G97">
        <v>5672</v>
      </c>
      <c r="H97">
        <v>70</v>
      </c>
      <c r="I97">
        <v>1974</v>
      </c>
      <c r="J97">
        <v>3628</v>
      </c>
      <c r="K97">
        <v>46</v>
      </c>
      <c r="L97">
        <v>831</v>
      </c>
      <c r="M97">
        <v>10</v>
      </c>
      <c r="N97">
        <v>345268</v>
      </c>
      <c r="O97">
        <v>50609</v>
      </c>
      <c r="P97" t="s">
        <v>293</v>
      </c>
    </row>
    <row r="98" spans="1:16" x14ac:dyDescent="0.25">
      <c r="A98" s="3">
        <v>43948</v>
      </c>
      <c r="B98" t="s">
        <v>111</v>
      </c>
      <c r="C98">
        <v>4102577</v>
      </c>
      <c r="D98">
        <v>68704</v>
      </c>
      <c r="E98">
        <v>4649</v>
      </c>
      <c r="F98" t="s">
        <v>10</v>
      </c>
      <c r="G98">
        <v>5404</v>
      </c>
      <c r="H98">
        <v>155</v>
      </c>
      <c r="I98">
        <v>4688</v>
      </c>
      <c r="J98">
        <v>561</v>
      </c>
      <c r="K98">
        <v>7</v>
      </c>
      <c r="L98">
        <v>1317</v>
      </c>
      <c r="M98">
        <v>38</v>
      </c>
      <c r="N98">
        <v>125317</v>
      </c>
      <c r="O98">
        <v>30546</v>
      </c>
      <c r="P98" t="s">
        <v>12</v>
      </c>
    </row>
    <row r="99" spans="1:16" x14ac:dyDescent="0.25">
      <c r="A99" s="3">
        <v>43949</v>
      </c>
      <c r="B99" t="s">
        <v>112</v>
      </c>
      <c r="C99">
        <v>989387</v>
      </c>
      <c r="D99">
        <v>75404</v>
      </c>
      <c r="E99">
        <v>6463</v>
      </c>
      <c r="F99" t="s">
        <v>14</v>
      </c>
      <c r="G99">
        <v>5330</v>
      </c>
      <c r="H99">
        <v>59</v>
      </c>
      <c r="I99">
        <v>5057</v>
      </c>
      <c r="J99">
        <v>214</v>
      </c>
      <c r="K99">
        <v>0</v>
      </c>
      <c r="L99">
        <v>5387</v>
      </c>
      <c r="M99">
        <v>60</v>
      </c>
      <c r="N99">
        <v>59909</v>
      </c>
      <c r="O99">
        <v>60552</v>
      </c>
      <c r="P99" t="s">
        <v>14</v>
      </c>
    </row>
    <row r="100" spans="1:16" x14ac:dyDescent="0.25">
      <c r="A100" s="3">
        <v>43950</v>
      </c>
      <c r="B100" t="s">
        <v>113</v>
      </c>
      <c r="C100">
        <v>10417673</v>
      </c>
      <c r="D100">
        <v>79558</v>
      </c>
      <c r="E100">
        <v>6768</v>
      </c>
      <c r="F100" t="s">
        <v>14</v>
      </c>
      <c r="G100">
        <v>5123</v>
      </c>
      <c r="H100">
        <v>210</v>
      </c>
      <c r="I100">
        <v>1374</v>
      </c>
      <c r="J100">
        <v>3539</v>
      </c>
      <c r="K100">
        <v>14</v>
      </c>
      <c r="L100">
        <v>492</v>
      </c>
      <c r="M100">
        <v>20</v>
      </c>
      <c r="N100">
        <v>619393</v>
      </c>
      <c r="O100">
        <v>59456</v>
      </c>
      <c r="P100" t="s">
        <v>12</v>
      </c>
    </row>
    <row r="101" spans="1:16" x14ac:dyDescent="0.25">
      <c r="A101" s="3">
        <v>43951</v>
      </c>
      <c r="B101" t="s">
        <v>114</v>
      </c>
      <c r="C101">
        <v>6880353</v>
      </c>
      <c r="D101">
        <v>83681</v>
      </c>
      <c r="E101">
        <v>5962</v>
      </c>
      <c r="F101" t="s">
        <v>10</v>
      </c>
      <c r="G101">
        <v>4879</v>
      </c>
      <c r="H101">
        <v>107</v>
      </c>
      <c r="I101">
        <v>652</v>
      </c>
      <c r="J101">
        <v>4120</v>
      </c>
      <c r="K101">
        <v>0</v>
      </c>
      <c r="L101">
        <v>709</v>
      </c>
      <c r="M101">
        <v>16</v>
      </c>
      <c r="N101">
        <v>59699</v>
      </c>
      <c r="O101">
        <v>8677</v>
      </c>
      <c r="P101" t="s">
        <v>14</v>
      </c>
    </row>
    <row r="102" spans="1:16" x14ac:dyDescent="0.25">
      <c r="A102" s="3">
        <v>43952</v>
      </c>
      <c r="B102" t="s">
        <v>115</v>
      </c>
      <c r="C102">
        <v>1407001</v>
      </c>
      <c r="D102">
        <v>87046</v>
      </c>
      <c r="E102">
        <v>5177</v>
      </c>
      <c r="F102" t="s">
        <v>12</v>
      </c>
      <c r="G102">
        <v>4821</v>
      </c>
      <c r="H102">
        <v>83</v>
      </c>
      <c r="I102">
        <v>2182</v>
      </c>
      <c r="J102">
        <v>2556</v>
      </c>
      <c r="K102">
        <v>0</v>
      </c>
      <c r="L102">
        <v>3426</v>
      </c>
      <c r="M102">
        <v>59</v>
      </c>
      <c r="N102">
        <v>44356</v>
      </c>
      <c r="O102">
        <v>31525</v>
      </c>
      <c r="P102" t="s">
        <v>14</v>
      </c>
    </row>
    <row r="103" spans="1:16" x14ac:dyDescent="0.25">
      <c r="A103" s="3">
        <v>43953</v>
      </c>
      <c r="B103" t="s">
        <v>116</v>
      </c>
      <c r="C103">
        <v>541448</v>
      </c>
      <c r="D103">
        <v>81853</v>
      </c>
      <c r="E103">
        <v>5325</v>
      </c>
      <c r="F103" t="s">
        <v>12</v>
      </c>
      <c r="G103">
        <v>4680</v>
      </c>
      <c r="H103">
        <v>19</v>
      </c>
      <c r="I103">
        <v>2725</v>
      </c>
      <c r="J103">
        <v>1936</v>
      </c>
      <c r="K103">
        <v>12</v>
      </c>
      <c r="L103">
        <v>8643</v>
      </c>
      <c r="M103">
        <v>35</v>
      </c>
      <c r="N103">
        <v>85587</v>
      </c>
      <c r="O103">
        <v>158071</v>
      </c>
      <c r="P103" t="s">
        <v>293</v>
      </c>
    </row>
    <row r="104" spans="1:16" x14ac:dyDescent="0.25">
      <c r="A104" s="3">
        <v>43954</v>
      </c>
      <c r="B104" t="s">
        <v>117</v>
      </c>
      <c r="C104">
        <v>4837752</v>
      </c>
      <c r="D104">
        <v>77636</v>
      </c>
      <c r="E104">
        <v>3453</v>
      </c>
      <c r="F104" t="s">
        <v>12</v>
      </c>
      <c r="G104">
        <v>4620</v>
      </c>
      <c r="H104">
        <v>59</v>
      </c>
      <c r="I104">
        <v>1641</v>
      </c>
      <c r="J104">
        <v>2920</v>
      </c>
      <c r="K104">
        <v>2</v>
      </c>
      <c r="L104">
        <v>955</v>
      </c>
      <c r="M104">
        <v>12</v>
      </c>
      <c r="N104">
        <v>29589</v>
      </c>
      <c r="O104">
        <v>6116</v>
      </c>
      <c r="P104" t="s">
        <v>14</v>
      </c>
    </row>
    <row r="105" spans="1:16" x14ac:dyDescent="0.25">
      <c r="A105" s="3">
        <v>43955</v>
      </c>
      <c r="B105" t="s">
        <v>118</v>
      </c>
      <c r="C105">
        <v>9657785</v>
      </c>
      <c r="D105">
        <v>76078</v>
      </c>
      <c r="E105">
        <v>4128</v>
      </c>
      <c r="F105" t="s">
        <v>14</v>
      </c>
      <c r="G105">
        <v>4597</v>
      </c>
      <c r="H105">
        <v>600</v>
      </c>
      <c r="I105">
        <v>3463</v>
      </c>
      <c r="J105">
        <v>534</v>
      </c>
      <c r="K105">
        <v>8</v>
      </c>
      <c r="L105">
        <v>476</v>
      </c>
      <c r="M105">
        <v>62</v>
      </c>
      <c r="N105">
        <v>352546</v>
      </c>
      <c r="O105">
        <v>36504</v>
      </c>
      <c r="P105" t="s">
        <v>12</v>
      </c>
    </row>
    <row r="106" spans="1:16" x14ac:dyDescent="0.25">
      <c r="A106" s="3">
        <v>43956</v>
      </c>
      <c r="B106" t="s">
        <v>119</v>
      </c>
      <c r="C106">
        <v>19174839</v>
      </c>
      <c r="D106">
        <v>79989</v>
      </c>
      <c r="E106">
        <v>5871</v>
      </c>
      <c r="F106" t="s">
        <v>14</v>
      </c>
      <c r="G106">
        <v>4491</v>
      </c>
      <c r="H106">
        <v>137</v>
      </c>
      <c r="I106">
        <v>2137</v>
      </c>
      <c r="J106">
        <v>2217</v>
      </c>
      <c r="K106">
        <v>4</v>
      </c>
      <c r="L106">
        <v>234</v>
      </c>
      <c r="M106">
        <v>7</v>
      </c>
      <c r="N106">
        <v>33466</v>
      </c>
      <c r="O106">
        <v>1745</v>
      </c>
      <c r="P106" t="s">
        <v>14</v>
      </c>
    </row>
    <row r="107" spans="1:16" x14ac:dyDescent="0.25">
      <c r="A107" s="3">
        <v>43957</v>
      </c>
      <c r="B107" t="s">
        <v>120</v>
      </c>
      <c r="C107">
        <v>14883803</v>
      </c>
      <c r="D107">
        <v>90022</v>
      </c>
      <c r="E107">
        <v>6669</v>
      </c>
      <c r="F107" t="s">
        <v>22</v>
      </c>
      <c r="G107">
        <v>4339</v>
      </c>
      <c r="H107">
        <v>84</v>
      </c>
      <c r="I107">
        <v>1264</v>
      </c>
      <c r="J107">
        <v>2991</v>
      </c>
      <c r="K107">
        <v>0</v>
      </c>
      <c r="L107">
        <v>292</v>
      </c>
      <c r="M107">
        <v>6</v>
      </c>
      <c r="N107">
        <v>140421</v>
      </c>
      <c r="O107">
        <v>9434</v>
      </c>
      <c r="P107" t="s">
        <v>14</v>
      </c>
    </row>
    <row r="108" spans="1:16" x14ac:dyDescent="0.25">
      <c r="A108" s="3">
        <v>43958</v>
      </c>
      <c r="B108" t="s">
        <v>121</v>
      </c>
      <c r="C108">
        <v>6632263</v>
      </c>
      <c r="D108">
        <v>90669</v>
      </c>
      <c r="E108">
        <v>5409</v>
      </c>
      <c r="F108" t="s">
        <v>28</v>
      </c>
      <c r="G108">
        <v>3902</v>
      </c>
      <c r="H108">
        <v>123</v>
      </c>
      <c r="I108">
        <v>2913</v>
      </c>
      <c r="J108">
        <v>866</v>
      </c>
      <c r="K108">
        <v>0</v>
      </c>
      <c r="L108">
        <v>588</v>
      </c>
      <c r="M108">
        <v>19</v>
      </c>
      <c r="N108">
        <v>0</v>
      </c>
      <c r="O108">
        <v>0</v>
      </c>
      <c r="P108" t="s">
        <v>291</v>
      </c>
    </row>
    <row r="109" spans="1:16" x14ac:dyDescent="0.25">
      <c r="A109" s="3">
        <v>43959</v>
      </c>
      <c r="B109" t="s">
        <v>122</v>
      </c>
      <c r="C109">
        <v>7503041</v>
      </c>
      <c r="D109">
        <v>92997</v>
      </c>
      <c r="E109">
        <v>5568</v>
      </c>
      <c r="F109" t="s">
        <v>14</v>
      </c>
      <c r="G109">
        <v>3850</v>
      </c>
      <c r="H109">
        <v>46</v>
      </c>
      <c r="I109">
        <v>2458</v>
      </c>
      <c r="J109">
        <v>1346</v>
      </c>
      <c r="K109">
        <v>39</v>
      </c>
      <c r="L109">
        <v>513</v>
      </c>
      <c r="M109">
        <v>6</v>
      </c>
      <c r="N109">
        <v>692430</v>
      </c>
      <c r="O109">
        <v>92287</v>
      </c>
      <c r="P109" t="s">
        <v>293</v>
      </c>
    </row>
    <row r="110" spans="1:16" x14ac:dyDescent="0.25">
      <c r="A110" s="3">
        <v>43960</v>
      </c>
      <c r="B110" t="s">
        <v>123</v>
      </c>
      <c r="C110">
        <v>5530506</v>
      </c>
      <c r="D110">
        <v>85846</v>
      </c>
      <c r="E110">
        <v>4265</v>
      </c>
      <c r="F110" t="s">
        <v>12</v>
      </c>
      <c r="G110">
        <v>3546</v>
      </c>
      <c r="H110">
        <v>58</v>
      </c>
      <c r="I110">
        <v>1589</v>
      </c>
      <c r="J110">
        <v>1899</v>
      </c>
      <c r="K110">
        <v>0</v>
      </c>
      <c r="L110">
        <v>641</v>
      </c>
      <c r="M110">
        <v>10</v>
      </c>
      <c r="N110">
        <v>0</v>
      </c>
      <c r="O110">
        <v>0</v>
      </c>
      <c r="P110" t="s">
        <v>14</v>
      </c>
    </row>
    <row r="111" spans="1:16" x14ac:dyDescent="0.25">
      <c r="A111" s="3">
        <v>43961</v>
      </c>
      <c r="B111" t="s">
        <v>124</v>
      </c>
      <c r="C111">
        <v>628074</v>
      </c>
      <c r="D111">
        <v>76255</v>
      </c>
      <c r="E111">
        <v>3566</v>
      </c>
      <c r="F111" t="s">
        <v>14</v>
      </c>
      <c r="G111">
        <v>3480</v>
      </c>
      <c r="H111">
        <v>60</v>
      </c>
      <c r="I111">
        <v>2178</v>
      </c>
      <c r="J111">
        <v>1242</v>
      </c>
      <c r="K111">
        <v>0</v>
      </c>
      <c r="L111">
        <v>5541</v>
      </c>
      <c r="M111">
        <v>96</v>
      </c>
      <c r="N111">
        <v>38427</v>
      </c>
      <c r="O111">
        <v>61182</v>
      </c>
      <c r="P111" t="s">
        <v>12</v>
      </c>
    </row>
    <row r="112" spans="1:16" x14ac:dyDescent="0.25">
      <c r="A112" s="3">
        <v>43962</v>
      </c>
      <c r="B112" t="s">
        <v>125</v>
      </c>
      <c r="C112">
        <v>69817894</v>
      </c>
      <c r="D112">
        <v>76298</v>
      </c>
      <c r="E112">
        <v>3473</v>
      </c>
      <c r="F112" t="s">
        <v>14</v>
      </c>
      <c r="G112">
        <v>3330</v>
      </c>
      <c r="H112">
        <v>58</v>
      </c>
      <c r="I112">
        <v>3148</v>
      </c>
      <c r="J112">
        <v>124</v>
      </c>
      <c r="K112">
        <v>1</v>
      </c>
      <c r="L112">
        <v>48</v>
      </c>
      <c r="M112">
        <v>0.8</v>
      </c>
      <c r="N112">
        <v>749213</v>
      </c>
      <c r="O112">
        <v>10731</v>
      </c>
      <c r="P112" t="s">
        <v>293</v>
      </c>
    </row>
    <row r="113" spans="1:16" x14ac:dyDescent="0.25">
      <c r="A113" s="3">
        <v>43963</v>
      </c>
      <c r="B113" t="s">
        <v>126</v>
      </c>
      <c r="C113">
        <v>15933012</v>
      </c>
      <c r="D113">
        <v>83619</v>
      </c>
      <c r="E113">
        <v>5547</v>
      </c>
      <c r="F113" t="s">
        <v>18</v>
      </c>
      <c r="G113">
        <v>3227</v>
      </c>
      <c r="H113">
        <v>93</v>
      </c>
      <c r="I113">
        <v>1728</v>
      </c>
      <c r="J113">
        <v>1406</v>
      </c>
      <c r="K113">
        <v>2</v>
      </c>
      <c r="L113">
        <v>203</v>
      </c>
      <c r="M113">
        <v>6</v>
      </c>
      <c r="N113">
        <v>0</v>
      </c>
      <c r="O113">
        <v>0</v>
      </c>
      <c r="P113" t="s">
        <v>14</v>
      </c>
    </row>
    <row r="114" spans="1:16" x14ac:dyDescent="0.25">
      <c r="A114" s="3">
        <v>43964</v>
      </c>
      <c r="B114" t="s">
        <v>127</v>
      </c>
      <c r="C114">
        <v>273419</v>
      </c>
      <c r="D114">
        <v>84917</v>
      </c>
      <c r="E114">
        <v>5228</v>
      </c>
      <c r="F114" t="s">
        <v>12</v>
      </c>
      <c r="G114">
        <v>3042</v>
      </c>
      <c r="H114">
        <v>39</v>
      </c>
      <c r="I114">
        <v>2738</v>
      </c>
      <c r="J114">
        <v>265</v>
      </c>
      <c r="K114">
        <v>2</v>
      </c>
      <c r="L114">
        <v>11126</v>
      </c>
      <c r="M114">
        <v>143</v>
      </c>
      <c r="N114">
        <v>13000</v>
      </c>
      <c r="O114">
        <v>47546</v>
      </c>
      <c r="P114" t="s">
        <v>14</v>
      </c>
    </row>
    <row r="115" spans="1:16" x14ac:dyDescent="0.25">
      <c r="A115" s="3">
        <v>43965</v>
      </c>
      <c r="B115" t="s">
        <v>128</v>
      </c>
      <c r="C115">
        <v>1161348</v>
      </c>
      <c r="D115">
        <v>97106</v>
      </c>
      <c r="E115">
        <v>5268</v>
      </c>
      <c r="F115" t="s">
        <v>12</v>
      </c>
      <c r="G115">
        <v>2968</v>
      </c>
      <c r="H115">
        <v>55</v>
      </c>
      <c r="I115">
        <v>1476</v>
      </c>
      <c r="J115">
        <v>1437</v>
      </c>
      <c r="K115">
        <v>5</v>
      </c>
      <c r="L115">
        <v>2556</v>
      </c>
      <c r="M115">
        <v>47</v>
      </c>
      <c r="N115">
        <v>20784</v>
      </c>
      <c r="O115">
        <v>17896</v>
      </c>
      <c r="P115" t="s">
        <v>14</v>
      </c>
    </row>
    <row r="116" spans="1:16" x14ac:dyDescent="0.25">
      <c r="A116" s="3">
        <v>43966</v>
      </c>
      <c r="B116" t="s">
        <v>129</v>
      </c>
      <c r="C116">
        <v>21422362</v>
      </c>
      <c r="D116">
        <v>96349</v>
      </c>
      <c r="E116">
        <v>5215</v>
      </c>
      <c r="F116" t="s">
        <v>22</v>
      </c>
      <c r="G116">
        <v>2839</v>
      </c>
      <c r="H116">
        <v>11</v>
      </c>
      <c r="I116">
        <v>2541</v>
      </c>
      <c r="J116">
        <v>287</v>
      </c>
      <c r="K116">
        <v>1</v>
      </c>
      <c r="L116">
        <v>133</v>
      </c>
      <c r="M116">
        <v>0.5</v>
      </c>
      <c r="N116">
        <v>166737</v>
      </c>
      <c r="O116">
        <v>7783</v>
      </c>
      <c r="P116" t="s">
        <v>293</v>
      </c>
    </row>
    <row r="117" spans="1:16" x14ac:dyDescent="0.25">
      <c r="A117" s="3">
        <v>43967</v>
      </c>
      <c r="B117" t="s">
        <v>130</v>
      </c>
      <c r="C117">
        <v>11325899</v>
      </c>
      <c r="D117">
        <v>95412</v>
      </c>
      <c r="E117">
        <v>4171</v>
      </c>
      <c r="F117" t="s">
        <v>12</v>
      </c>
      <c r="G117">
        <v>2775</v>
      </c>
      <c r="H117">
        <v>88</v>
      </c>
      <c r="I117">
        <v>2409</v>
      </c>
      <c r="J117">
        <v>278</v>
      </c>
      <c r="K117">
        <v>4</v>
      </c>
      <c r="L117">
        <v>245</v>
      </c>
      <c r="M117">
        <v>8</v>
      </c>
      <c r="N117">
        <v>285471</v>
      </c>
      <c r="O117">
        <v>25205</v>
      </c>
      <c r="P117" t="s">
        <v>291</v>
      </c>
    </row>
    <row r="118" spans="1:16" x14ac:dyDescent="0.25">
      <c r="A118" s="3">
        <v>43968</v>
      </c>
      <c r="B118" t="s">
        <v>131</v>
      </c>
      <c r="C118">
        <v>556581</v>
      </c>
      <c r="D118">
        <v>78509</v>
      </c>
      <c r="E118">
        <v>3329</v>
      </c>
      <c r="F118" t="s">
        <v>10</v>
      </c>
      <c r="G118">
        <v>2734</v>
      </c>
      <c r="H118">
        <v>27</v>
      </c>
      <c r="I118">
        <v>2010</v>
      </c>
      <c r="J118">
        <v>697</v>
      </c>
      <c r="K118">
        <v>0</v>
      </c>
      <c r="L118">
        <v>4912</v>
      </c>
      <c r="M118">
        <v>49</v>
      </c>
      <c r="N118">
        <v>61633</v>
      </c>
      <c r="O118">
        <v>110735</v>
      </c>
      <c r="P118" t="s">
        <v>14</v>
      </c>
    </row>
    <row r="119" spans="1:16" x14ac:dyDescent="0.25">
      <c r="A119" s="3">
        <v>43969</v>
      </c>
      <c r="B119" t="s">
        <v>132</v>
      </c>
      <c r="C119">
        <v>2545264</v>
      </c>
      <c r="D119">
        <v>88284</v>
      </c>
      <c r="E119">
        <v>3291</v>
      </c>
      <c r="F119" t="s">
        <v>14</v>
      </c>
      <c r="G119">
        <v>2652</v>
      </c>
      <c r="H119">
        <v>15</v>
      </c>
      <c r="I119">
        <v>563</v>
      </c>
      <c r="J119">
        <v>2074</v>
      </c>
      <c r="K119">
        <v>24</v>
      </c>
      <c r="L119">
        <v>1042</v>
      </c>
      <c r="M119">
        <v>6</v>
      </c>
      <c r="N119">
        <v>29233</v>
      </c>
      <c r="O119">
        <v>11485</v>
      </c>
      <c r="P119" t="s">
        <v>14</v>
      </c>
    </row>
    <row r="120" spans="1:16" x14ac:dyDescent="0.25">
      <c r="A120" s="3">
        <v>43970</v>
      </c>
      <c r="B120" t="s">
        <v>133</v>
      </c>
      <c r="C120">
        <v>20302901</v>
      </c>
      <c r="D120">
        <v>96633</v>
      </c>
      <c r="E120">
        <v>4784</v>
      </c>
      <c r="F120" t="s">
        <v>14</v>
      </c>
      <c r="G120">
        <v>2552</v>
      </c>
      <c r="H120">
        <v>124</v>
      </c>
      <c r="I120">
        <v>1954</v>
      </c>
      <c r="J120">
        <v>474</v>
      </c>
      <c r="K120">
        <v>0</v>
      </c>
      <c r="L120">
        <v>126</v>
      </c>
      <c r="M120">
        <v>6</v>
      </c>
      <c r="N120">
        <v>25152</v>
      </c>
      <c r="O120">
        <v>1239</v>
      </c>
      <c r="P120" t="s">
        <v>14</v>
      </c>
    </row>
    <row r="121" spans="1:16" x14ac:dyDescent="0.25">
      <c r="A121" s="3">
        <v>43971</v>
      </c>
      <c r="B121" t="s">
        <v>134</v>
      </c>
      <c r="C121">
        <v>5459915</v>
      </c>
      <c r="D121">
        <v>103028</v>
      </c>
      <c r="E121">
        <v>4885</v>
      </c>
      <c r="F121" t="s">
        <v>28</v>
      </c>
      <c r="G121">
        <v>2480</v>
      </c>
      <c r="H121">
        <v>29</v>
      </c>
      <c r="I121">
        <v>1824</v>
      </c>
      <c r="J121">
        <v>627</v>
      </c>
      <c r="K121">
        <v>2</v>
      </c>
      <c r="L121">
        <v>454</v>
      </c>
      <c r="M121">
        <v>5</v>
      </c>
      <c r="N121">
        <v>272322</v>
      </c>
      <c r="O121">
        <v>49877</v>
      </c>
      <c r="P121" t="s">
        <v>12</v>
      </c>
    </row>
    <row r="122" spans="1:16" x14ac:dyDescent="0.25">
      <c r="A122" s="3">
        <v>43972</v>
      </c>
      <c r="B122" t="s">
        <v>135</v>
      </c>
      <c r="C122">
        <v>11206572</v>
      </c>
      <c r="D122">
        <v>106438</v>
      </c>
      <c r="E122">
        <v>4786</v>
      </c>
      <c r="F122" t="s">
        <v>12</v>
      </c>
      <c r="G122">
        <v>2450</v>
      </c>
      <c r="H122">
        <v>47</v>
      </c>
      <c r="I122">
        <v>1175</v>
      </c>
      <c r="J122">
        <v>1228</v>
      </c>
      <c r="K122">
        <v>0</v>
      </c>
      <c r="L122">
        <v>219</v>
      </c>
      <c r="M122">
        <v>4</v>
      </c>
      <c r="N122">
        <v>12044</v>
      </c>
      <c r="O122">
        <v>1075</v>
      </c>
      <c r="P122" t="s">
        <v>14</v>
      </c>
    </row>
    <row r="123" spans="1:16" x14ac:dyDescent="0.25">
      <c r="A123" s="3">
        <v>43973</v>
      </c>
      <c r="B123" t="s">
        <v>136</v>
      </c>
      <c r="C123">
        <v>2078968</v>
      </c>
      <c r="D123">
        <v>106900</v>
      </c>
      <c r="E123">
        <v>5284</v>
      </c>
      <c r="F123" t="s">
        <v>22</v>
      </c>
      <c r="G123">
        <v>2223</v>
      </c>
      <c r="H123">
        <v>125</v>
      </c>
      <c r="I123">
        <v>1909</v>
      </c>
      <c r="J123">
        <v>189</v>
      </c>
      <c r="K123">
        <v>2</v>
      </c>
      <c r="L123">
        <v>1069</v>
      </c>
      <c r="M123">
        <v>60</v>
      </c>
      <c r="N123">
        <v>135702</v>
      </c>
      <c r="O123">
        <v>65274</v>
      </c>
      <c r="P123" t="s">
        <v>12</v>
      </c>
    </row>
    <row r="124" spans="1:16" x14ac:dyDescent="0.25">
      <c r="A124" s="3">
        <v>43974</v>
      </c>
      <c r="B124" t="s">
        <v>137</v>
      </c>
      <c r="C124">
        <v>2718121</v>
      </c>
      <c r="D124">
        <v>105289</v>
      </c>
      <c r="E124">
        <v>3989</v>
      </c>
      <c r="F124" t="s">
        <v>18</v>
      </c>
      <c r="G124">
        <v>2171</v>
      </c>
      <c r="H124">
        <v>81</v>
      </c>
      <c r="I124">
        <v>1656</v>
      </c>
      <c r="J124">
        <v>434</v>
      </c>
      <c r="K124">
        <v>6</v>
      </c>
      <c r="L124">
        <v>799</v>
      </c>
      <c r="M124">
        <v>30</v>
      </c>
      <c r="N124">
        <v>540784</v>
      </c>
      <c r="O124">
        <v>198955</v>
      </c>
      <c r="P124" t="s">
        <v>12</v>
      </c>
    </row>
    <row r="125" spans="1:16" x14ac:dyDescent="0.25">
      <c r="A125" s="3">
        <v>43975</v>
      </c>
      <c r="B125" t="s">
        <v>138</v>
      </c>
      <c r="C125">
        <v>1326627</v>
      </c>
      <c r="D125">
        <v>95326</v>
      </c>
      <c r="E125">
        <v>3140</v>
      </c>
      <c r="F125" t="s">
        <v>14</v>
      </c>
      <c r="G125">
        <v>2124</v>
      </c>
      <c r="H125">
        <v>63</v>
      </c>
      <c r="I125">
        <v>1954</v>
      </c>
      <c r="J125">
        <v>107</v>
      </c>
      <c r="K125">
        <v>0</v>
      </c>
      <c r="L125">
        <v>1601</v>
      </c>
      <c r="M125">
        <v>47</v>
      </c>
      <c r="N125">
        <v>122880</v>
      </c>
      <c r="O125">
        <v>92626</v>
      </c>
      <c r="P125" t="s">
        <v>12</v>
      </c>
    </row>
    <row r="126" spans="1:16" x14ac:dyDescent="0.25">
      <c r="A126" s="3">
        <v>43976</v>
      </c>
      <c r="B126" t="s">
        <v>139</v>
      </c>
      <c r="C126">
        <v>31333962</v>
      </c>
      <c r="D126">
        <v>87335</v>
      </c>
      <c r="E126">
        <v>1178</v>
      </c>
      <c r="F126" t="s">
        <v>14</v>
      </c>
      <c r="G126">
        <v>2120</v>
      </c>
      <c r="H126">
        <v>15</v>
      </c>
      <c r="I126">
        <v>795</v>
      </c>
      <c r="J126">
        <v>1310</v>
      </c>
      <c r="K126">
        <v>0</v>
      </c>
      <c r="L126">
        <v>68</v>
      </c>
      <c r="M126">
        <v>0.5</v>
      </c>
      <c r="N126">
        <v>65151</v>
      </c>
      <c r="O126">
        <v>2079</v>
      </c>
      <c r="P126" t="s">
        <v>14</v>
      </c>
    </row>
    <row r="127" spans="1:16" x14ac:dyDescent="0.25">
      <c r="A127" s="3">
        <v>43977</v>
      </c>
      <c r="B127" t="s">
        <v>140</v>
      </c>
      <c r="C127">
        <v>12981546</v>
      </c>
      <c r="D127">
        <v>92742</v>
      </c>
      <c r="E127">
        <v>4203</v>
      </c>
      <c r="F127" t="s">
        <v>12</v>
      </c>
      <c r="G127">
        <v>2111</v>
      </c>
      <c r="H127">
        <v>5</v>
      </c>
      <c r="I127">
        <v>1258</v>
      </c>
      <c r="J127">
        <v>848</v>
      </c>
      <c r="K127">
        <v>0</v>
      </c>
      <c r="L127">
        <v>163</v>
      </c>
      <c r="M127">
        <v>0.4</v>
      </c>
      <c r="N127">
        <v>286251</v>
      </c>
      <c r="O127">
        <v>22051</v>
      </c>
      <c r="P127" t="s">
        <v>14</v>
      </c>
    </row>
    <row r="128" spans="1:16" x14ac:dyDescent="0.25">
      <c r="A128" s="3">
        <v>43978</v>
      </c>
      <c r="B128" t="s">
        <v>141</v>
      </c>
      <c r="C128">
        <v>587154</v>
      </c>
      <c r="D128">
        <v>102600</v>
      </c>
      <c r="E128">
        <v>5213</v>
      </c>
      <c r="F128" t="s">
        <v>12</v>
      </c>
      <c r="G128">
        <v>2096</v>
      </c>
      <c r="H128">
        <v>29</v>
      </c>
      <c r="I128">
        <v>1446</v>
      </c>
      <c r="J128">
        <v>621</v>
      </c>
      <c r="K128">
        <v>9</v>
      </c>
      <c r="L128">
        <v>3570</v>
      </c>
      <c r="M128">
        <v>49</v>
      </c>
      <c r="N128">
        <v>2785</v>
      </c>
      <c r="O128">
        <v>4743</v>
      </c>
      <c r="P128" t="s">
        <v>292</v>
      </c>
    </row>
    <row r="129" spans="1:16" x14ac:dyDescent="0.25">
      <c r="A129" s="3">
        <v>43979</v>
      </c>
      <c r="B129" t="s">
        <v>142</v>
      </c>
      <c r="C129">
        <v>1972277</v>
      </c>
      <c r="D129">
        <v>119314</v>
      </c>
      <c r="E129">
        <v>4701</v>
      </c>
      <c r="F129" t="s">
        <v>10</v>
      </c>
      <c r="G129">
        <v>2032</v>
      </c>
      <c r="H129">
        <v>27</v>
      </c>
      <c r="I129">
        <v>944</v>
      </c>
      <c r="J129">
        <v>1061</v>
      </c>
      <c r="K129">
        <v>5</v>
      </c>
      <c r="L129">
        <v>1030</v>
      </c>
      <c r="M129">
        <v>14</v>
      </c>
      <c r="N129">
        <v>1500</v>
      </c>
      <c r="O129">
        <v>761</v>
      </c>
      <c r="P129" t="s">
        <v>14</v>
      </c>
    </row>
    <row r="130" spans="1:16" x14ac:dyDescent="0.25">
      <c r="A130" s="3">
        <v>43980</v>
      </c>
      <c r="B130" t="s">
        <v>143</v>
      </c>
      <c r="C130">
        <v>12151976</v>
      </c>
      <c r="D130">
        <v>121167</v>
      </c>
      <c r="E130">
        <v>4742</v>
      </c>
      <c r="F130" t="s">
        <v>10</v>
      </c>
      <c r="G130">
        <v>1936</v>
      </c>
      <c r="H130">
        <v>38</v>
      </c>
      <c r="I130">
        <v>1600</v>
      </c>
      <c r="J130">
        <v>298</v>
      </c>
      <c r="K130">
        <v>1</v>
      </c>
      <c r="L130">
        <v>159</v>
      </c>
      <c r="M130">
        <v>3</v>
      </c>
      <c r="N130">
        <v>93677</v>
      </c>
      <c r="O130">
        <v>7709</v>
      </c>
      <c r="P130" t="s">
        <v>14</v>
      </c>
    </row>
    <row r="131" spans="1:16" x14ac:dyDescent="0.25">
      <c r="A131" s="3">
        <v>43981</v>
      </c>
      <c r="B131" t="s">
        <v>144</v>
      </c>
      <c r="C131">
        <v>341465</v>
      </c>
      <c r="D131">
        <v>137833</v>
      </c>
      <c r="E131">
        <v>4156</v>
      </c>
      <c r="F131" t="s">
        <v>18</v>
      </c>
      <c r="G131">
        <v>1930</v>
      </c>
      <c r="H131">
        <v>10</v>
      </c>
      <c r="I131">
        <v>1825</v>
      </c>
      <c r="J131">
        <v>95</v>
      </c>
      <c r="K131">
        <v>0</v>
      </c>
      <c r="L131">
        <v>5652</v>
      </c>
      <c r="M131">
        <v>29</v>
      </c>
      <c r="N131">
        <v>149693</v>
      </c>
      <c r="O131">
        <v>438385</v>
      </c>
      <c r="P131" t="s">
        <v>12</v>
      </c>
    </row>
    <row r="132" spans="1:16" x14ac:dyDescent="0.25">
      <c r="A132" s="3">
        <v>43982</v>
      </c>
      <c r="B132" t="s">
        <v>145</v>
      </c>
      <c r="C132">
        <v>7992169</v>
      </c>
      <c r="D132">
        <v>107552</v>
      </c>
      <c r="E132">
        <v>2888</v>
      </c>
      <c r="F132" t="s">
        <v>22</v>
      </c>
      <c r="G132">
        <v>1877</v>
      </c>
      <c r="H132">
        <v>67</v>
      </c>
      <c r="I132">
        <v>1427</v>
      </c>
      <c r="J132">
        <v>383</v>
      </c>
      <c r="K132">
        <v>0</v>
      </c>
      <c r="L132">
        <v>235</v>
      </c>
      <c r="M132">
        <v>8</v>
      </c>
      <c r="N132">
        <v>0</v>
      </c>
      <c r="O132">
        <v>0</v>
      </c>
      <c r="P132" t="s">
        <v>14</v>
      </c>
    </row>
    <row r="133" spans="1:16" x14ac:dyDescent="0.25">
      <c r="A133" s="3">
        <v>43983</v>
      </c>
      <c r="B133" t="s">
        <v>146</v>
      </c>
      <c r="C133">
        <v>29886897</v>
      </c>
      <c r="D133">
        <v>95195</v>
      </c>
      <c r="E133">
        <v>3068</v>
      </c>
      <c r="F133" t="s">
        <v>18</v>
      </c>
      <c r="G133">
        <v>1768</v>
      </c>
      <c r="H133">
        <v>508</v>
      </c>
      <c r="I133">
        <v>898</v>
      </c>
      <c r="J133">
        <v>362</v>
      </c>
      <c r="K133">
        <v>0</v>
      </c>
      <c r="L133">
        <v>59</v>
      </c>
      <c r="M133">
        <v>17</v>
      </c>
      <c r="N133">
        <v>120</v>
      </c>
      <c r="O133">
        <v>4</v>
      </c>
      <c r="P133" t="s">
        <v>293</v>
      </c>
    </row>
    <row r="134" spans="1:16" x14ac:dyDescent="0.25">
      <c r="A134" s="3">
        <v>43984</v>
      </c>
      <c r="B134" t="s">
        <v>147</v>
      </c>
      <c r="C134">
        <v>11830801</v>
      </c>
      <c r="D134">
        <v>121577</v>
      </c>
      <c r="E134">
        <v>4823</v>
      </c>
      <c r="F134" t="s">
        <v>18</v>
      </c>
      <c r="G134">
        <v>1642</v>
      </c>
      <c r="H134">
        <v>51</v>
      </c>
      <c r="I134">
        <v>1241</v>
      </c>
      <c r="J134">
        <v>350</v>
      </c>
      <c r="K134">
        <v>9</v>
      </c>
      <c r="L134">
        <v>139</v>
      </c>
      <c r="M134">
        <v>4</v>
      </c>
      <c r="N134">
        <v>100298</v>
      </c>
      <c r="O134">
        <v>8478</v>
      </c>
      <c r="P134" t="s">
        <v>14</v>
      </c>
    </row>
    <row r="135" spans="1:16" x14ac:dyDescent="0.25">
      <c r="A135" s="3">
        <v>43985</v>
      </c>
      <c r="B135" t="s">
        <v>148</v>
      </c>
      <c r="C135">
        <v>5002100</v>
      </c>
      <c r="D135">
        <v>119389</v>
      </c>
      <c r="E135">
        <v>5572</v>
      </c>
      <c r="F135" t="s">
        <v>22</v>
      </c>
      <c r="G135">
        <v>1569</v>
      </c>
      <c r="H135">
        <v>22</v>
      </c>
      <c r="I135">
        <v>1524</v>
      </c>
      <c r="J135">
        <v>23</v>
      </c>
      <c r="K135">
        <v>0</v>
      </c>
      <c r="L135">
        <v>314</v>
      </c>
      <c r="M135">
        <v>4</v>
      </c>
      <c r="N135">
        <v>486943</v>
      </c>
      <c r="O135">
        <v>97348</v>
      </c>
      <c r="P135" t="s">
        <v>294</v>
      </c>
    </row>
    <row r="136" spans="1:16" x14ac:dyDescent="0.25">
      <c r="A136" s="3">
        <v>43986</v>
      </c>
      <c r="B136" t="s">
        <v>149</v>
      </c>
      <c r="C136">
        <v>32956300</v>
      </c>
      <c r="D136">
        <v>126937</v>
      </c>
      <c r="E136">
        <v>5149</v>
      </c>
      <c r="F136" t="s">
        <v>12</v>
      </c>
      <c r="G136">
        <v>1483</v>
      </c>
      <c r="H136">
        <v>64</v>
      </c>
      <c r="I136">
        <v>520</v>
      </c>
      <c r="J136">
        <v>899</v>
      </c>
      <c r="K136">
        <v>20</v>
      </c>
      <c r="L136">
        <v>45</v>
      </c>
      <c r="M136">
        <v>2</v>
      </c>
      <c r="N136">
        <v>64747</v>
      </c>
      <c r="O136">
        <v>1965</v>
      </c>
      <c r="P136" t="s">
        <v>14</v>
      </c>
    </row>
    <row r="137" spans="1:16" x14ac:dyDescent="0.25">
      <c r="A137" s="3">
        <v>43987</v>
      </c>
      <c r="B137" t="s">
        <v>150</v>
      </c>
      <c r="C137">
        <v>3474956</v>
      </c>
      <c r="D137">
        <v>130863</v>
      </c>
      <c r="E137">
        <v>4776</v>
      </c>
      <c r="F137" t="s">
        <v>12</v>
      </c>
      <c r="G137">
        <v>1318</v>
      </c>
      <c r="H137">
        <v>37</v>
      </c>
      <c r="I137">
        <v>1079</v>
      </c>
      <c r="J137">
        <v>202</v>
      </c>
      <c r="K137">
        <v>2</v>
      </c>
      <c r="L137">
        <v>379</v>
      </c>
      <c r="M137">
        <v>11</v>
      </c>
      <c r="N137">
        <v>126956</v>
      </c>
      <c r="O137">
        <v>36535</v>
      </c>
      <c r="P137" t="s">
        <v>292</v>
      </c>
    </row>
    <row r="138" spans="1:16" x14ac:dyDescent="0.25">
      <c r="A138" s="3">
        <v>43988</v>
      </c>
      <c r="B138" t="s">
        <v>151</v>
      </c>
      <c r="C138">
        <v>1883936</v>
      </c>
      <c r="D138">
        <v>135942</v>
      </c>
      <c r="E138">
        <v>3881</v>
      </c>
      <c r="F138" t="s">
        <v>10</v>
      </c>
      <c r="G138">
        <v>1275</v>
      </c>
      <c r="H138">
        <v>32</v>
      </c>
      <c r="I138">
        <v>1070</v>
      </c>
      <c r="J138">
        <v>173</v>
      </c>
      <c r="K138">
        <v>0</v>
      </c>
      <c r="L138">
        <v>677</v>
      </c>
      <c r="M138">
        <v>17</v>
      </c>
      <c r="N138">
        <v>207909</v>
      </c>
      <c r="O138">
        <v>110359</v>
      </c>
      <c r="P138" t="s">
        <v>12</v>
      </c>
    </row>
    <row r="139" spans="1:16" x14ac:dyDescent="0.25">
      <c r="A139" s="3">
        <v>43989</v>
      </c>
      <c r="B139" t="s">
        <v>152</v>
      </c>
      <c r="C139">
        <v>10213138</v>
      </c>
      <c r="D139">
        <v>112259</v>
      </c>
      <c r="E139">
        <v>2742</v>
      </c>
      <c r="F139" t="s">
        <v>12</v>
      </c>
      <c r="G139">
        <v>1232</v>
      </c>
      <c r="H139">
        <v>11</v>
      </c>
      <c r="I139">
        <v>1171</v>
      </c>
      <c r="J139">
        <v>50</v>
      </c>
      <c r="K139">
        <v>3</v>
      </c>
      <c r="L139">
        <v>121</v>
      </c>
      <c r="M139">
        <v>1</v>
      </c>
      <c r="N139">
        <v>628745</v>
      </c>
      <c r="O139">
        <v>61562</v>
      </c>
      <c r="P139" t="s">
        <v>293</v>
      </c>
    </row>
    <row r="140" spans="1:16" x14ac:dyDescent="0.25">
      <c r="A140" s="3">
        <v>43990</v>
      </c>
      <c r="B140" t="s">
        <v>153</v>
      </c>
      <c r="C140">
        <v>5068618</v>
      </c>
      <c r="D140">
        <v>102225</v>
      </c>
      <c r="E140">
        <v>3697</v>
      </c>
      <c r="F140" t="s">
        <v>12</v>
      </c>
      <c r="G140">
        <v>1224</v>
      </c>
      <c r="H140">
        <v>78</v>
      </c>
      <c r="I140">
        <v>705</v>
      </c>
      <c r="J140">
        <v>441</v>
      </c>
      <c r="K140">
        <v>0</v>
      </c>
      <c r="L140">
        <v>241</v>
      </c>
      <c r="M140">
        <v>15</v>
      </c>
      <c r="N140">
        <v>0</v>
      </c>
      <c r="O140">
        <v>0</v>
      </c>
      <c r="P140" t="s">
        <v>14</v>
      </c>
    </row>
    <row r="141" spans="1:16" x14ac:dyDescent="0.25">
      <c r="A141" s="3">
        <v>43991</v>
      </c>
      <c r="B141" t="s">
        <v>154</v>
      </c>
      <c r="C141">
        <v>45867852</v>
      </c>
      <c r="D141">
        <v>124342</v>
      </c>
      <c r="E141">
        <v>4922</v>
      </c>
      <c r="F141" t="s">
        <v>14</v>
      </c>
      <c r="G141">
        <v>1223</v>
      </c>
      <c r="H141">
        <v>5</v>
      </c>
      <c r="I141">
        <v>1102</v>
      </c>
      <c r="J141">
        <v>116</v>
      </c>
      <c r="K141">
        <v>0</v>
      </c>
      <c r="L141">
        <v>27</v>
      </c>
      <c r="M141">
        <v>0.1</v>
      </c>
      <c r="N141">
        <v>288367</v>
      </c>
      <c r="O141">
        <v>6287</v>
      </c>
      <c r="P141" t="s">
        <v>14</v>
      </c>
    </row>
    <row r="142" spans="1:16" x14ac:dyDescent="0.25">
      <c r="A142" s="3">
        <v>43992</v>
      </c>
      <c r="B142" t="s">
        <v>155</v>
      </c>
      <c r="C142">
        <v>1208238</v>
      </c>
      <c r="D142">
        <v>134025</v>
      </c>
      <c r="E142">
        <v>5205</v>
      </c>
      <c r="F142" t="s">
        <v>18</v>
      </c>
      <c r="G142">
        <v>1208</v>
      </c>
      <c r="H142">
        <v>19</v>
      </c>
      <c r="I142">
        <v>856</v>
      </c>
      <c r="J142">
        <v>333</v>
      </c>
      <c r="K142">
        <v>0</v>
      </c>
      <c r="L142">
        <v>1000</v>
      </c>
      <c r="M142">
        <v>16</v>
      </c>
      <c r="N142">
        <v>216597</v>
      </c>
      <c r="O142">
        <v>179267</v>
      </c>
      <c r="P142" t="s">
        <v>293</v>
      </c>
    </row>
    <row r="143" spans="1:16" x14ac:dyDescent="0.25">
      <c r="A143" s="3">
        <v>43993</v>
      </c>
      <c r="B143" t="s">
        <v>156</v>
      </c>
      <c r="C143">
        <v>3988368</v>
      </c>
      <c r="D143">
        <v>138114</v>
      </c>
      <c r="E143">
        <v>4774</v>
      </c>
      <c r="F143" t="s">
        <v>18</v>
      </c>
      <c r="G143">
        <v>1206</v>
      </c>
      <c r="H143">
        <v>17</v>
      </c>
      <c r="I143">
        <v>987</v>
      </c>
      <c r="J143">
        <v>202</v>
      </c>
      <c r="K143">
        <v>0</v>
      </c>
      <c r="L143">
        <v>302</v>
      </c>
      <c r="M143">
        <v>4</v>
      </c>
      <c r="N143">
        <v>240473</v>
      </c>
      <c r="O143">
        <v>60294</v>
      </c>
      <c r="P143" t="s">
        <v>293</v>
      </c>
    </row>
    <row r="144" spans="1:16" x14ac:dyDescent="0.25">
      <c r="A144" s="3">
        <v>43994</v>
      </c>
      <c r="B144" t="s">
        <v>157</v>
      </c>
      <c r="C144">
        <v>20954852</v>
      </c>
      <c r="D144">
        <v>129094</v>
      </c>
      <c r="E144">
        <v>4297</v>
      </c>
      <c r="F144" t="s">
        <v>18</v>
      </c>
      <c r="G144">
        <v>1158</v>
      </c>
      <c r="H144">
        <v>54</v>
      </c>
      <c r="I144">
        <v>961</v>
      </c>
      <c r="J144">
        <v>143</v>
      </c>
      <c r="K144">
        <v>0</v>
      </c>
      <c r="L144">
        <v>55</v>
      </c>
      <c r="M144">
        <v>3</v>
      </c>
      <c r="N144">
        <v>0</v>
      </c>
      <c r="O144">
        <v>0</v>
      </c>
      <c r="P144" t="s">
        <v>14</v>
      </c>
    </row>
    <row r="145" spans="1:16" x14ac:dyDescent="0.25">
      <c r="A145" s="3">
        <v>43995</v>
      </c>
      <c r="B145" t="s">
        <v>158</v>
      </c>
      <c r="C145">
        <v>24281433</v>
      </c>
      <c r="D145">
        <v>136010</v>
      </c>
      <c r="E145">
        <v>4238</v>
      </c>
      <c r="F145" t="s">
        <v>12</v>
      </c>
      <c r="G145">
        <v>1153</v>
      </c>
      <c r="H145">
        <v>69</v>
      </c>
      <c r="I145">
        <v>1057</v>
      </c>
      <c r="J145">
        <v>27</v>
      </c>
      <c r="K145">
        <v>0</v>
      </c>
      <c r="L145">
        <v>47</v>
      </c>
      <c r="M145">
        <v>3</v>
      </c>
      <c r="N145">
        <v>9052</v>
      </c>
      <c r="O145">
        <v>373</v>
      </c>
      <c r="P145" t="s">
        <v>14</v>
      </c>
    </row>
    <row r="146" spans="1:16" x14ac:dyDescent="0.25">
      <c r="A146" s="3">
        <v>43996</v>
      </c>
      <c r="B146" t="s">
        <v>159</v>
      </c>
      <c r="C146">
        <v>8296582</v>
      </c>
      <c r="D146">
        <v>133421</v>
      </c>
      <c r="E146">
        <v>3374</v>
      </c>
      <c r="F146" t="s">
        <v>14</v>
      </c>
      <c r="G146">
        <v>1012</v>
      </c>
      <c r="H146">
        <v>22</v>
      </c>
      <c r="I146">
        <v>697</v>
      </c>
      <c r="J146">
        <v>293</v>
      </c>
      <c r="K146">
        <v>2</v>
      </c>
      <c r="L146">
        <v>122</v>
      </c>
      <c r="M146">
        <v>3</v>
      </c>
      <c r="N146">
        <v>45767</v>
      </c>
      <c r="O146">
        <v>5516</v>
      </c>
      <c r="P146" t="s">
        <v>14</v>
      </c>
    </row>
    <row r="147" spans="1:16" x14ac:dyDescent="0.25">
      <c r="A147" s="3">
        <v>43997</v>
      </c>
      <c r="B147" t="s">
        <v>160</v>
      </c>
      <c r="C147">
        <v>17539600</v>
      </c>
      <c r="D147">
        <v>119638</v>
      </c>
      <c r="E147">
        <v>3425</v>
      </c>
      <c r="F147" t="s">
        <v>10</v>
      </c>
      <c r="G147">
        <v>999</v>
      </c>
      <c r="H147">
        <v>48</v>
      </c>
      <c r="I147">
        <v>311</v>
      </c>
      <c r="J147">
        <v>640</v>
      </c>
      <c r="K147">
        <v>0</v>
      </c>
      <c r="L147">
        <v>57</v>
      </c>
      <c r="M147">
        <v>3</v>
      </c>
      <c r="N147">
        <v>0</v>
      </c>
      <c r="O147">
        <v>0</v>
      </c>
      <c r="P147" t="s">
        <v>293</v>
      </c>
    </row>
    <row r="148" spans="1:16" x14ac:dyDescent="0.25">
      <c r="A148" s="3">
        <v>43998</v>
      </c>
      <c r="B148" t="s">
        <v>161</v>
      </c>
      <c r="C148">
        <v>2962478</v>
      </c>
      <c r="D148">
        <v>141403</v>
      </c>
      <c r="E148">
        <v>6867</v>
      </c>
      <c r="F148" t="s">
        <v>14</v>
      </c>
      <c r="G148">
        <v>958</v>
      </c>
      <c r="H148">
        <v>12</v>
      </c>
      <c r="I148">
        <v>745</v>
      </c>
      <c r="J148">
        <v>201</v>
      </c>
      <c r="K148">
        <v>0</v>
      </c>
      <c r="L148">
        <v>323</v>
      </c>
      <c r="M148">
        <v>4</v>
      </c>
      <c r="N148">
        <v>41840</v>
      </c>
      <c r="O148">
        <v>14123</v>
      </c>
      <c r="P148" t="s">
        <v>291</v>
      </c>
    </row>
    <row r="149" spans="1:16" x14ac:dyDescent="0.25">
      <c r="A149" s="3">
        <v>43999</v>
      </c>
      <c r="B149" t="s">
        <v>162</v>
      </c>
      <c r="C149">
        <v>441663</v>
      </c>
      <c r="D149">
        <v>141853</v>
      </c>
      <c r="E149">
        <v>5255</v>
      </c>
      <c r="F149" t="s">
        <v>12</v>
      </c>
      <c r="G149">
        <v>946</v>
      </c>
      <c r="H149">
        <v>9</v>
      </c>
      <c r="I149">
        <v>670</v>
      </c>
      <c r="J149">
        <v>267</v>
      </c>
      <c r="K149">
        <v>0</v>
      </c>
      <c r="L149">
        <v>2142</v>
      </c>
      <c r="M149">
        <v>20</v>
      </c>
      <c r="N149">
        <v>136713</v>
      </c>
      <c r="O149">
        <v>309541</v>
      </c>
      <c r="P149" t="s">
        <v>12</v>
      </c>
    </row>
    <row r="150" spans="1:16" x14ac:dyDescent="0.25">
      <c r="A150" s="3">
        <v>44000</v>
      </c>
      <c r="B150" t="s">
        <v>163</v>
      </c>
      <c r="C150">
        <v>77278</v>
      </c>
      <c r="D150">
        <v>139928</v>
      </c>
      <c r="E150">
        <v>5029</v>
      </c>
      <c r="F150" t="s">
        <v>14</v>
      </c>
      <c r="G150">
        <v>944</v>
      </c>
      <c r="H150">
        <v>52</v>
      </c>
      <c r="I150">
        <v>828</v>
      </c>
      <c r="J150">
        <v>64</v>
      </c>
      <c r="K150">
        <v>1</v>
      </c>
      <c r="L150">
        <v>12216</v>
      </c>
      <c r="M150">
        <v>673</v>
      </c>
      <c r="N150">
        <v>3750</v>
      </c>
      <c r="O150">
        <v>48526</v>
      </c>
      <c r="P150" t="s">
        <v>12</v>
      </c>
    </row>
    <row r="151" spans="1:16" x14ac:dyDescent="0.25">
      <c r="A151" s="3">
        <v>44001</v>
      </c>
      <c r="B151" t="s">
        <v>164</v>
      </c>
      <c r="C151">
        <v>16467965</v>
      </c>
      <c r="D151">
        <v>180954</v>
      </c>
      <c r="E151">
        <v>6273</v>
      </c>
      <c r="F151" t="s">
        <v>14</v>
      </c>
      <c r="G151">
        <v>942</v>
      </c>
      <c r="H151">
        <v>76</v>
      </c>
      <c r="I151">
        <v>838</v>
      </c>
      <c r="J151">
        <v>28</v>
      </c>
      <c r="K151">
        <v>0</v>
      </c>
      <c r="L151">
        <v>57</v>
      </c>
      <c r="M151">
        <v>5</v>
      </c>
      <c r="N151">
        <v>0</v>
      </c>
      <c r="O151">
        <v>0</v>
      </c>
      <c r="P151" t="s">
        <v>14</v>
      </c>
    </row>
    <row r="152" spans="1:16" x14ac:dyDescent="0.25">
      <c r="A152" s="3">
        <v>44002</v>
      </c>
      <c r="B152" t="s">
        <v>165</v>
      </c>
      <c r="C152">
        <v>2422754</v>
      </c>
      <c r="D152">
        <v>157552</v>
      </c>
      <c r="E152">
        <v>4249</v>
      </c>
      <c r="F152" t="s">
        <v>22</v>
      </c>
      <c r="G152">
        <v>935</v>
      </c>
      <c r="H152">
        <v>16</v>
      </c>
      <c r="I152">
        <v>136</v>
      </c>
      <c r="J152">
        <v>783</v>
      </c>
      <c r="K152">
        <v>0</v>
      </c>
      <c r="L152">
        <v>386</v>
      </c>
      <c r="M152">
        <v>7</v>
      </c>
      <c r="N152">
        <v>5183</v>
      </c>
      <c r="O152">
        <v>2139</v>
      </c>
      <c r="P152" t="s">
        <v>14</v>
      </c>
    </row>
    <row r="153" spans="1:16" x14ac:dyDescent="0.25">
      <c r="A153" s="3">
        <v>44003</v>
      </c>
      <c r="B153" t="s">
        <v>166</v>
      </c>
      <c r="C153">
        <v>219544</v>
      </c>
      <c r="D153">
        <v>128539</v>
      </c>
      <c r="E153">
        <v>3963</v>
      </c>
      <c r="F153" t="s">
        <v>12</v>
      </c>
      <c r="G153">
        <v>878</v>
      </c>
      <c r="H153">
        <v>15</v>
      </c>
      <c r="I153">
        <v>797</v>
      </c>
      <c r="J153">
        <v>66</v>
      </c>
      <c r="K153">
        <v>0</v>
      </c>
      <c r="L153">
        <v>3999</v>
      </c>
      <c r="M153">
        <v>68</v>
      </c>
      <c r="N153">
        <v>3079</v>
      </c>
      <c r="O153">
        <v>14025</v>
      </c>
      <c r="P153" t="s">
        <v>14</v>
      </c>
    </row>
    <row r="154" spans="1:16" x14ac:dyDescent="0.25">
      <c r="A154" s="3">
        <v>44004</v>
      </c>
      <c r="B154" t="s">
        <v>167</v>
      </c>
      <c r="C154">
        <v>2356075</v>
      </c>
      <c r="D154">
        <v>137858</v>
      </c>
      <c r="E154">
        <v>3571</v>
      </c>
      <c r="F154" t="s">
        <v>12</v>
      </c>
      <c r="G154">
        <v>804</v>
      </c>
      <c r="H154">
        <v>2</v>
      </c>
      <c r="I154">
        <v>63</v>
      </c>
      <c r="J154">
        <v>739</v>
      </c>
      <c r="K154">
        <v>1</v>
      </c>
      <c r="L154">
        <v>341</v>
      </c>
      <c r="M154">
        <v>0.8</v>
      </c>
      <c r="N154">
        <v>68423</v>
      </c>
      <c r="O154">
        <v>29041</v>
      </c>
      <c r="P154" t="s">
        <v>14</v>
      </c>
    </row>
    <row r="155" spans="1:16" x14ac:dyDescent="0.25">
      <c r="A155" s="3">
        <v>44005</v>
      </c>
      <c r="B155" t="s">
        <v>168</v>
      </c>
      <c r="C155">
        <v>393616</v>
      </c>
      <c r="D155">
        <v>165338</v>
      </c>
      <c r="E155">
        <v>5311</v>
      </c>
      <c r="F155" t="s">
        <v>10</v>
      </c>
      <c r="G155">
        <v>761</v>
      </c>
      <c r="H155">
        <v>14</v>
      </c>
      <c r="I155">
        <v>91</v>
      </c>
      <c r="J155">
        <v>656</v>
      </c>
      <c r="K155">
        <v>1</v>
      </c>
      <c r="L155">
        <v>1933</v>
      </c>
      <c r="M155">
        <v>36</v>
      </c>
      <c r="N155">
        <v>4814</v>
      </c>
      <c r="O155">
        <v>12230</v>
      </c>
      <c r="P155" t="s">
        <v>291</v>
      </c>
    </row>
    <row r="156" spans="1:16" x14ac:dyDescent="0.25">
      <c r="A156" s="3">
        <v>44006</v>
      </c>
      <c r="B156" t="s">
        <v>169</v>
      </c>
      <c r="C156">
        <v>97425470</v>
      </c>
      <c r="D156">
        <v>171183</v>
      </c>
      <c r="E156">
        <v>5261</v>
      </c>
      <c r="F156" t="s">
        <v>14</v>
      </c>
      <c r="G156">
        <v>747</v>
      </c>
      <c r="H156">
        <v>10</v>
      </c>
      <c r="I156">
        <v>392</v>
      </c>
      <c r="J156">
        <v>345</v>
      </c>
      <c r="K156">
        <v>0</v>
      </c>
      <c r="L156">
        <v>8</v>
      </c>
      <c r="M156">
        <v>0.1</v>
      </c>
      <c r="N156">
        <v>482456</v>
      </c>
      <c r="O156">
        <v>4952</v>
      </c>
      <c r="P156" t="s">
        <v>293</v>
      </c>
    </row>
    <row r="157" spans="1:16" x14ac:dyDescent="0.25">
      <c r="A157" s="3">
        <v>44007</v>
      </c>
      <c r="B157" t="s">
        <v>170</v>
      </c>
      <c r="C157">
        <v>2143943</v>
      </c>
      <c r="D157">
        <v>177887</v>
      </c>
      <c r="E157">
        <v>6627</v>
      </c>
      <c r="F157" t="s">
        <v>22</v>
      </c>
      <c r="G157">
        <v>742</v>
      </c>
      <c r="H157">
        <v>23</v>
      </c>
      <c r="I157">
        <v>175</v>
      </c>
      <c r="J157">
        <v>544</v>
      </c>
      <c r="K157">
        <v>0</v>
      </c>
      <c r="L157">
        <v>346</v>
      </c>
      <c r="M157">
        <v>11</v>
      </c>
      <c r="N157">
        <v>8771</v>
      </c>
      <c r="O157">
        <v>4091</v>
      </c>
      <c r="P157" t="s">
        <v>14</v>
      </c>
    </row>
    <row r="158" spans="1:16" x14ac:dyDescent="0.25">
      <c r="A158" s="3">
        <v>44008</v>
      </c>
      <c r="B158" t="s">
        <v>171</v>
      </c>
      <c r="C158">
        <v>0</v>
      </c>
      <c r="D158">
        <v>191346</v>
      </c>
      <c r="E158">
        <v>4827</v>
      </c>
      <c r="F158" t="s">
        <v>14</v>
      </c>
      <c r="G158">
        <v>712</v>
      </c>
      <c r="H158">
        <v>13</v>
      </c>
      <c r="I158">
        <v>651</v>
      </c>
      <c r="J158">
        <v>48</v>
      </c>
      <c r="K158">
        <v>4</v>
      </c>
      <c r="L158">
        <v>0</v>
      </c>
      <c r="M158">
        <v>0</v>
      </c>
      <c r="N158">
        <v>0</v>
      </c>
      <c r="O158">
        <v>0</v>
      </c>
      <c r="P158" t="s">
        <v>14</v>
      </c>
    </row>
    <row r="159" spans="1:16" x14ac:dyDescent="0.25">
      <c r="A159" s="3">
        <v>44009</v>
      </c>
      <c r="B159" t="s">
        <v>172</v>
      </c>
      <c r="C159">
        <v>33938</v>
      </c>
      <c r="D159">
        <v>178110</v>
      </c>
      <c r="E159">
        <v>4486</v>
      </c>
      <c r="F159" t="s">
        <v>12</v>
      </c>
      <c r="G159">
        <v>699</v>
      </c>
      <c r="H159">
        <v>42</v>
      </c>
      <c r="I159">
        <v>657</v>
      </c>
      <c r="J159">
        <v>0</v>
      </c>
      <c r="K159">
        <v>0</v>
      </c>
      <c r="L159">
        <v>20596</v>
      </c>
      <c r="M159">
        <v>1238</v>
      </c>
      <c r="N159">
        <v>6068</v>
      </c>
      <c r="O159">
        <v>178797</v>
      </c>
      <c r="P159" t="s">
        <v>12</v>
      </c>
    </row>
    <row r="160" spans="1:16" x14ac:dyDescent="0.25">
      <c r="A160" s="3">
        <v>44010</v>
      </c>
      <c r="B160" t="s">
        <v>173</v>
      </c>
      <c r="C160">
        <v>895952</v>
      </c>
      <c r="D160">
        <v>162349</v>
      </c>
      <c r="E160">
        <v>3089</v>
      </c>
      <c r="F160" t="s">
        <v>28</v>
      </c>
      <c r="G160">
        <v>671</v>
      </c>
      <c r="H160">
        <v>5</v>
      </c>
      <c r="I160">
        <v>592</v>
      </c>
      <c r="J160">
        <v>74</v>
      </c>
      <c r="K160">
        <v>3</v>
      </c>
      <c r="L160">
        <v>749</v>
      </c>
      <c r="M160">
        <v>6</v>
      </c>
      <c r="N160">
        <v>35419</v>
      </c>
      <c r="O160">
        <v>39532</v>
      </c>
      <c r="P160" t="s">
        <v>14</v>
      </c>
    </row>
    <row r="161" spans="1:16" x14ac:dyDescent="0.25">
      <c r="A161" s="3">
        <v>44011</v>
      </c>
      <c r="B161" t="s">
        <v>174</v>
      </c>
      <c r="C161">
        <v>174022</v>
      </c>
      <c r="D161">
        <v>158572</v>
      </c>
      <c r="E161">
        <v>3721</v>
      </c>
      <c r="F161" t="s">
        <v>10</v>
      </c>
      <c r="G161">
        <v>597</v>
      </c>
      <c r="H161">
        <v>47</v>
      </c>
      <c r="I161">
        <v>533</v>
      </c>
      <c r="J161">
        <v>17</v>
      </c>
      <c r="K161">
        <v>0</v>
      </c>
      <c r="L161">
        <v>3431</v>
      </c>
      <c r="M161">
        <v>270</v>
      </c>
      <c r="N161">
        <v>30721</v>
      </c>
      <c r="O161">
        <v>176535</v>
      </c>
      <c r="P161" t="s">
        <v>12</v>
      </c>
    </row>
    <row r="162" spans="1:16" x14ac:dyDescent="0.25">
      <c r="A162" s="3">
        <v>44012</v>
      </c>
      <c r="B162" t="s">
        <v>175</v>
      </c>
      <c r="C162">
        <v>786936</v>
      </c>
      <c r="D162">
        <v>173898</v>
      </c>
      <c r="E162">
        <v>5132</v>
      </c>
      <c r="F162" t="s">
        <v>18</v>
      </c>
      <c r="G162">
        <v>538</v>
      </c>
      <c r="H162">
        <v>22</v>
      </c>
      <c r="I162">
        <v>189</v>
      </c>
      <c r="J162">
        <v>327</v>
      </c>
      <c r="K162">
        <v>2</v>
      </c>
      <c r="L162">
        <v>684</v>
      </c>
      <c r="M162">
        <v>28</v>
      </c>
      <c r="N162">
        <v>5165</v>
      </c>
      <c r="O162">
        <v>6563</v>
      </c>
      <c r="P162" t="s">
        <v>292</v>
      </c>
    </row>
    <row r="163" spans="1:16" x14ac:dyDescent="0.25">
      <c r="A163" s="3">
        <v>44013</v>
      </c>
      <c r="B163" t="s">
        <v>176</v>
      </c>
      <c r="C163">
        <v>59886383</v>
      </c>
      <c r="D163">
        <v>217689</v>
      </c>
      <c r="E163">
        <v>5011</v>
      </c>
      <c r="F163" t="s">
        <v>12</v>
      </c>
      <c r="G163">
        <v>509</v>
      </c>
      <c r="H163">
        <v>21</v>
      </c>
      <c r="I163">
        <v>183</v>
      </c>
      <c r="J163">
        <v>305</v>
      </c>
      <c r="K163">
        <v>7</v>
      </c>
      <c r="L163">
        <v>8</v>
      </c>
      <c r="M163">
        <v>0.4</v>
      </c>
      <c r="N163">
        <v>0</v>
      </c>
      <c r="O163">
        <v>0</v>
      </c>
      <c r="P163" t="s">
        <v>14</v>
      </c>
    </row>
    <row r="164" spans="1:16" x14ac:dyDescent="0.25">
      <c r="A164" s="3">
        <v>44014</v>
      </c>
      <c r="B164" t="s">
        <v>177</v>
      </c>
      <c r="C164">
        <v>23821199</v>
      </c>
      <c r="D164">
        <v>207705</v>
      </c>
      <c r="E164">
        <v>5120</v>
      </c>
      <c r="F164" t="s">
        <v>12</v>
      </c>
      <c r="G164">
        <v>477</v>
      </c>
      <c r="H164">
        <v>7</v>
      </c>
      <c r="I164">
        <v>443</v>
      </c>
      <c r="J164">
        <v>27</v>
      </c>
      <c r="K164">
        <v>0</v>
      </c>
      <c r="L164">
        <v>20</v>
      </c>
      <c r="M164">
        <v>0.3</v>
      </c>
      <c r="N164">
        <v>82737</v>
      </c>
      <c r="O164">
        <v>3473</v>
      </c>
      <c r="P164" t="s">
        <v>293</v>
      </c>
    </row>
    <row r="165" spans="1:16" x14ac:dyDescent="0.25">
      <c r="A165" s="3">
        <v>44015</v>
      </c>
      <c r="B165" t="s">
        <v>178</v>
      </c>
      <c r="C165">
        <v>871326</v>
      </c>
      <c r="D165">
        <v>203495</v>
      </c>
      <c r="E165">
        <v>4995</v>
      </c>
      <c r="F165" t="s">
        <v>10</v>
      </c>
      <c r="G165">
        <v>396</v>
      </c>
      <c r="H165">
        <v>7</v>
      </c>
      <c r="I165">
        <v>340</v>
      </c>
      <c r="J165">
        <v>49</v>
      </c>
      <c r="K165">
        <v>0</v>
      </c>
      <c r="L165">
        <v>454</v>
      </c>
      <c r="M165">
        <v>8</v>
      </c>
      <c r="N165">
        <v>0</v>
      </c>
      <c r="O165">
        <v>0</v>
      </c>
      <c r="P165" t="s">
        <v>14</v>
      </c>
    </row>
    <row r="166" spans="1:16" x14ac:dyDescent="0.25">
      <c r="A166" s="3">
        <v>44016</v>
      </c>
      <c r="B166" t="s">
        <v>179</v>
      </c>
      <c r="C166">
        <v>11922216</v>
      </c>
      <c r="D166">
        <v>193567</v>
      </c>
      <c r="E166">
        <v>4369</v>
      </c>
      <c r="F166" t="s">
        <v>22</v>
      </c>
      <c r="G166">
        <v>395</v>
      </c>
      <c r="H166">
        <v>1</v>
      </c>
      <c r="I166">
        <v>304</v>
      </c>
      <c r="J166">
        <v>90</v>
      </c>
      <c r="K166">
        <v>0</v>
      </c>
      <c r="L166">
        <v>33</v>
      </c>
      <c r="M166">
        <v>0.08</v>
      </c>
      <c r="N166">
        <v>15614</v>
      </c>
      <c r="O166">
        <v>1310</v>
      </c>
      <c r="P166" t="s">
        <v>14</v>
      </c>
    </row>
    <row r="167" spans="1:16" x14ac:dyDescent="0.25">
      <c r="A167" s="3">
        <v>44017</v>
      </c>
      <c r="B167" t="s">
        <v>180</v>
      </c>
      <c r="C167">
        <v>54446389</v>
      </c>
      <c r="D167">
        <v>182695</v>
      </c>
      <c r="E167">
        <v>3445</v>
      </c>
      <c r="F167" t="s">
        <v>12</v>
      </c>
      <c r="G167">
        <v>357</v>
      </c>
      <c r="H167">
        <v>6</v>
      </c>
      <c r="I167">
        <v>308</v>
      </c>
      <c r="J167">
        <v>43</v>
      </c>
      <c r="K167">
        <v>0</v>
      </c>
      <c r="L167">
        <v>7</v>
      </c>
      <c r="M167">
        <v>0.1</v>
      </c>
      <c r="N167">
        <v>122290</v>
      </c>
      <c r="O167">
        <v>2246</v>
      </c>
      <c r="P167" t="s">
        <v>293</v>
      </c>
    </row>
    <row r="168" spans="1:16" x14ac:dyDescent="0.25">
      <c r="A168" s="3">
        <v>44018</v>
      </c>
      <c r="B168" t="s">
        <v>181</v>
      </c>
      <c r="C168">
        <v>1271985</v>
      </c>
      <c r="D168">
        <v>167343</v>
      </c>
      <c r="E168">
        <v>3797</v>
      </c>
      <c r="F168" t="s">
        <v>14</v>
      </c>
      <c r="G168">
        <v>344</v>
      </c>
      <c r="H168">
        <v>10</v>
      </c>
      <c r="I168">
        <v>334</v>
      </c>
      <c r="J168">
        <v>0</v>
      </c>
      <c r="K168">
        <v>0</v>
      </c>
      <c r="L168">
        <v>270</v>
      </c>
      <c r="M168">
        <v>8</v>
      </c>
      <c r="N168">
        <v>205285</v>
      </c>
      <c r="O168">
        <v>161389</v>
      </c>
      <c r="P168" t="s">
        <v>14</v>
      </c>
    </row>
    <row r="169" spans="1:16" x14ac:dyDescent="0.25">
      <c r="A169" s="3">
        <v>44019</v>
      </c>
      <c r="B169" t="s">
        <v>182</v>
      </c>
      <c r="C169">
        <v>85078</v>
      </c>
      <c r="D169">
        <v>210844</v>
      </c>
      <c r="E169">
        <v>6107</v>
      </c>
      <c r="F169" t="s">
        <v>28</v>
      </c>
      <c r="G169">
        <v>336</v>
      </c>
      <c r="H169">
        <v>24</v>
      </c>
      <c r="I169">
        <v>312</v>
      </c>
      <c r="J169">
        <v>0</v>
      </c>
      <c r="K169">
        <v>0</v>
      </c>
      <c r="L169">
        <v>3949</v>
      </c>
      <c r="M169">
        <v>282</v>
      </c>
      <c r="N169">
        <v>8627</v>
      </c>
      <c r="O169">
        <v>101401</v>
      </c>
      <c r="P169" t="s">
        <v>12</v>
      </c>
    </row>
    <row r="170" spans="1:16" x14ac:dyDescent="0.25">
      <c r="A170" s="3">
        <v>44020</v>
      </c>
      <c r="B170" t="s">
        <v>183</v>
      </c>
      <c r="C170">
        <v>3283344</v>
      </c>
      <c r="D170">
        <v>211802</v>
      </c>
      <c r="E170">
        <v>5319</v>
      </c>
      <c r="F170" t="s">
        <v>28</v>
      </c>
      <c r="G170">
        <v>293</v>
      </c>
      <c r="H170">
        <v>0</v>
      </c>
      <c r="I170">
        <v>260</v>
      </c>
      <c r="J170">
        <v>33</v>
      </c>
      <c r="K170">
        <v>1</v>
      </c>
      <c r="L170">
        <v>89</v>
      </c>
      <c r="M170">
        <v>0</v>
      </c>
      <c r="N170">
        <v>38334</v>
      </c>
      <c r="O170">
        <v>11675</v>
      </c>
      <c r="P170" t="s">
        <v>293</v>
      </c>
    </row>
    <row r="171" spans="1:16" x14ac:dyDescent="0.25">
      <c r="A171" s="3">
        <v>44021</v>
      </c>
      <c r="B171" t="s">
        <v>184</v>
      </c>
      <c r="C171">
        <v>3551175</v>
      </c>
      <c r="D171">
        <v>228227</v>
      </c>
      <c r="E171">
        <v>5458</v>
      </c>
      <c r="F171" t="s">
        <v>14</v>
      </c>
      <c r="G171">
        <v>282</v>
      </c>
      <c r="H171">
        <v>0</v>
      </c>
      <c r="I171">
        <v>225</v>
      </c>
      <c r="J171">
        <v>57</v>
      </c>
      <c r="K171">
        <v>0</v>
      </c>
      <c r="L171">
        <v>79</v>
      </c>
      <c r="M171">
        <v>0</v>
      </c>
      <c r="N171">
        <v>0</v>
      </c>
      <c r="O171">
        <v>0</v>
      </c>
      <c r="P171" t="s">
        <v>14</v>
      </c>
    </row>
    <row r="172" spans="1:16" x14ac:dyDescent="0.25">
      <c r="A172" s="3">
        <v>44022</v>
      </c>
      <c r="B172" t="s">
        <v>185</v>
      </c>
      <c r="C172">
        <v>400131</v>
      </c>
      <c r="D172">
        <v>232577</v>
      </c>
      <c r="E172">
        <v>5311</v>
      </c>
      <c r="F172" t="s">
        <v>18</v>
      </c>
      <c r="G172">
        <v>279</v>
      </c>
      <c r="H172">
        <v>14</v>
      </c>
      <c r="I172">
        <v>179</v>
      </c>
      <c r="J172">
        <v>86</v>
      </c>
      <c r="K172">
        <v>0</v>
      </c>
      <c r="L172">
        <v>697</v>
      </c>
      <c r="M172">
        <v>35</v>
      </c>
      <c r="N172">
        <v>18476</v>
      </c>
      <c r="O172">
        <v>46175</v>
      </c>
      <c r="P172" t="s">
        <v>291</v>
      </c>
    </row>
    <row r="173" spans="1:16" x14ac:dyDescent="0.25">
      <c r="A173" s="3">
        <v>44023</v>
      </c>
      <c r="B173" t="s">
        <v>186</v>
      </c>
      <c r="C173">
        <v>375235</v>
      </c>
      <c r="D173">
        <v>216328</v>
      </c>
      <c r="E173">
        <v>4897</v>
      </c>
      <c r="F173" t="s">
        <v>10</v>
      </c>
      <c r="G173">
        <v>276</v>
      </c>
      <c r="H173">
        <v>15</v>
      </c>
      <c r="I173">
        <v>98</v>
      </c>
      <c r="J173">
        <v>163</v>
      </c>
      <c r="K173">
        <v>1</v>
      </c>
      <c r="L173">
        <v>736</v>
      </c>
      <c r="M173">
        <v>40</v>
      </c>
      <c r="N173">
        <v>12227</v>
      </c>
      <c r="O173">
        <v>32585</v>
      </c>
      <c r="P173" t="s">
        <v>291</v>
      </c>
    </row>
    <row r="174" spans="1:16" x14ac:dyDescent="0.25">
      <c r="A174" s="3">
        <v>44024</v>
      </c>
      <c r="B174" t="s">
        <v>187</v>
      </c>
      <c r="C174">
        <v>48882</v>
      </c>
      <c r="D174">
        <v>192668</v>
      </c>
      <c r="E174">
        <v>3954</v>
      </c>
      <c r="F174" t="s">
        <v>12</v>
      </c>
      <c r="G174">
        <v>266</v>
      </c>
      <c r="H174">
        <v>0</v>
      </c>
      <c r="I174">
        <v>192</v>
      </c>
      <c r="J174">
        <v>74</v>
      </c>
      <c r="K174">
        <v>1</v>
      </c>
      <c r="L174">
        <v>5442</v>
      </c>
      <c r="M174">
        <v>0</v>
      </c>
      <c r="N174">
        <v>43045</v>
      </c>
      <c r="O174">
        <v>880590</v>
      </c>
      <c r="P174" t="s">
        <v>12</v>
      </c>
    </row>
    <row r="175" spans="1:16" x14ac:dyDescent="0.25">
      <c r="A175" s="3">
        <v>44025</v>
      </c>
      <c r="B175" t="s">
        <v>188</v>
      </c>
      <c r="C175">
        <v>106812</v>
      </c>
      <c r="D175">
        <v>192779</v>
      </c>
      <c r="E175">
        <v>3815</v>
      </c>
      <c r="F175" t="s">
        <v>18</v>
      </c>
      <c r="G175">
        <v>263</v>
      </c>
      <c r="H175">
        <v>3</v>
      </c>
      <c r="I175">
        <v>114</v>
      </c>
      <c r="J175">
        <v>146</v>
      </c>
      <c r="K175">
        <v>0</v>
      </c>
      <c r="L175">
        <v>2462</v>
      </c>
      <c r="M175">
        <v>28</v>
      </c>
      <c r="N175">
        <v>14047</v>
      </c>
      <c r="O175">
        <v>131511</v>
      </c>
      <c r="P175" t="s">
        <v>291</v>
      </c>
    </row>
    <row r="176" spans="1:16" x14ac:dyDescent="0.25">
      <c r="A176" s="3">
        <v>44026</v>
      </c>
      <c r="B176" t="s">
        <v>189</v>
      </c>
      <c r="C176">
        <v>16741375</v>
      </c>
      <c r="D176">
        <v>221452</v>
      </c>
      <c r="E176">
        <v>5660</v>
      </c>
      <c r="F176" t="s">
        <v>14</v>
      </c>
      <c r="G176">
        <v>243</v>
      </c>
      <c r="H176">
        <v>0</v>
      </c>
      <c r="I176">
        <v>210</v>
      </c>
      <c r="J176">
        <v>33</v>
      </c>
      <c r="K176">
        <v>1</v>
      </c>
      <c r="L176">
        <v>15</v>
      </c>
      <c r="M176">
        <v>0</v>
      </c>
      <c r="N176">
        <v>67807</v>
      </c>
      <c r="O176">
        <v>4050</v>
      </c>
      <c r="P176" t="s">
        <v>293</v>
      </c>
    </row>
    <row r="177" spans="1:16" x14ac:dyDescent="0.25">
      <c r="A177" s="3">
        <v>44027</v>
      </c>
      <c r="B177" t="s">
        <v>190</v>
      </c>
      <c r="C177">
        <v>1399950</v>
      </c>
      <c r="D177">
        <v>231122</v>
      </c>
      <c r="E177">
        <v>5493</v>
      </c>
      <c r="F177" t="s">
        <v>12</v>
      </c>
      <c r="G177">
        <v>210</v>
      </c>
      <c r="H177">
        <v>8</v>
      </c>
      <c r="I177">
        <v>135</v>
      </c>
      <c r="J177">
        <v>67</v>
      </c>
      <c r="K177">
        <v>0</v>
      </c>
      <c r="L177">
        <v>150</v>
      </c>
      <c r="M177">
        <v>6</v>
      </c>
      <c r="N177">
        <v>9559</v>
      </c>
      <c r="O177">
        <v>6828</v>
      </c>
      <c r="P177" t="s">
        <v>291</v>
      </c>
    </row>
    <row r="178" spans="1:16" x14ac:dyDescent="0.25">
      <c r="A178" s="3">
        <v>44028</v>
      </c>
      <c r="B178" t="s">
        <v>191</v>
      </c>
      <c r="C178">
        <v>65798</v>
      </c>
      <c r="D178">
        <v>252544</v>
      </c>
      <c r="E178">
        <v>5799</v>
      </c>
      <c r="F178" t="s">
        <v>10</v>
      </c>
      <c r="G178">
        <v>203</v>
      </c>
      <c r="H178">
        <v>1</v>
      </c>
      <c r="I178">
        <v>202</v>
      </c>
      <c r="J178">
        <v>0</v>
      </c>
      <c r="K178">
        <v>0</v>
      </c>
      <c r="L178">
        <v>3085</v>
      </c>
      <c r="M178">
        <v>15</v>
      </c>
      <c r="N178">
        <v>31108</v>
      </c>
      <c r="O178">
        <v>472780</v>
      </c>
      <c r="P178" t="s">
        <v>291</v>
      </c>
    </row>
    <row r="179" spans="1:16" x14ac:dyDescent="0.25">
      <c r="A179" s="3">
        <v>44029</v>
      </c>
      <c r="B179" t="s">
        <v>192</v>
      </c>
      <c r="C179">
        <v>33690</v>
      </c>
      <c r="D179">
        <v>242038</v>
      </c>
      <c r="E179">
        <v>6743</v>
      </c>
      <c r="F179" t="s">
        <v>12</v>
      </c>
      <c r="G179">
        <v>190</v>
      </c>
      <c r="H179">
        <v>0</v>
      </c>
      <c r="I179">
        <v>184</v>
      </c>
      <c r="J179">
        <v>6</v>
      </c>
      <c r="K179">
        <v>0</v>
      </c>
      <c r="L179">
        <v>5640</v>
      </c>
      <c r="M179">
        <v>0</v>
      </c>
      <c r="N179">
        <v>23063</v>
      </c>
      <c r="O179">
        <v>684565</v>
      </c>
      <c r="P179" t="s">
        <v>12</v>
      </c>
    </row>
    <row r="180" spans="1:16" x14ac:dyDescent="0.25">
      <c r="A180" s="3">
        <v>44030</v>
      </c>
      <c r="B180" t="s">
        <v>193</v>
      </c>
      <c r="C180">
        <v>8963009</v>
      </c>
      <c r="D180">
        <v>237635</v>
      </c>
      <c r="E180">
        <v>5627</v>
      </c>
      <c r="F180" t="s">
        <v>18</v>
      </c>
      <c r="G180">
        <v>163</v>
      </c>
      <c r="H180">
        <v>3</v>
      </c>
      <c r="I180">
        <v>53</v>
      </c>
      <c r="J180">
        <v>107</v>
      </c>
      <c r="K180">
        <v>0</v>
      </c>
      <c r="L180">
        <v>18</v>
      </c>
      <c r="M180">
        <v>0.3</v>
      </c>
      <c r="N180">
        <v>10808</v>
      </c>
      <c r="O180">
        <v>1206</v>
      </c>
      <c r="P180" t="s">
        <v>294</v>
      </c>
    </row>
    <row r="181" spans="1:16" x14ac:dyDescent="0.25">
      <c r="A181" s="3">
        <v>44031</v>
      </c>
      <c r="B181" t="s">
        <v>194</v>
      </c>
      <c r="C181">
        <v>42924</v>
      </c>
      <c r="D181">
        <v>214647</v>
      </c>
      <c r="E181">
        <v>4029</v>
      </c>
      <c r="F181" t="s">
        <v>12</v>
      </c>
      <c r="G181">
        <v>160</v>
      </c>
      <c r="H181">
        <v>16</v>
      </c>
      <c r="I181">
        <v>64</v>
      </c>
      <c r="J181">
        <v>80</v>
      </c>
      <c r="K181">
        <v>3</v>
      </c>
      <c r="L181">
        <v>3728</v>
      </c>
      <c r="M181">
        <v>373</v>
      </c>
      <c r="N181">
        <v>1115</v>
      </c>
      <c r="O181">
        <v>25976</v>
      </c>
      <c r="P181" t="s">
        <v>291</v>
      </c>
    </row>
    <row r="182" spans="1:16" x14ac:dyDescent="0.25">
      <c r="A182" s="3">
        <v>44032</v>
      </c>
      <c r="B182" t="s">
        <v>195</v>
      </c>
      <c r="C182">
        <v>62254</v>
      </c>
      <c r="D182">
        <v>206778</v>
      </c>
      <c r="E182">
        <v>4160</v>
      </c>
      <c r="F182" t="s">
        <v>18</v>
      </c>
      <c r="G182">
        <v>157</v>
      </c>
      <c r="H182">
        <v>9</v>
      </c>
      <c r="I182">
        <v>144</v>
      </c>
      <c r="J182">
        <v>4</v>
      </c>
      <c r="K182">
        <v>0</v>
      </c>
      <c r="L182">
        <v>2522</v>
      </c>
      <c r="M182">
        <v>145</v>
      </c>
      <c r="N182">
        <v>26352</v>
      </c>
      <c r="O182">
        <v>423298</v>
      </c>
      <c r="P182" t="s">
        <v>291</v>
      </c>
    </row>
    <row r="183" spans="1:16" x14ac:dyDescent="0.25">
      <c r="A183" s="3">
        <v>44033</v>
      </c>
      <c r="B183" t="s">
        <v>196</v>
      </c>
      <c r="C183">
        <v>437893</v>
      </c>
      <c r="D183">
        <v>233565</v>
      </c>
      <c r="E183">
        <v>6238</v>
      </c>
      <c r="F183" t="s">
        <v>22</v>
      </c>
      <c r="G183">
        <v>141</v>
      </c>
      <c r="H183">
        <v>3</v>
      </c>
      <c r="I183">
        <v>138</v>
      </c>
      <c r="J183">
        <v>0</v>
      </c>
      <c r="K183">
        <v>0</v>
      </c>
      <c r="L183">
        <v>322</v>
      </c>
      <c r="M183">
        <v>7</v>
      </c>
      <c r="N183">
        <v>41148</v>
      </c>
      <c r="O183">
        <v>93968</v>
      </c>
      <c r="P183" t="s">
        <v>293</v>
      </c>
    </row>
    <row r="184" spans="1:16" x14ac:dyDescent="0.25">
      <c r="A184" s="3">
        <v>44034</v>
      </c>
      <c r="B184" t="s">
        <v>197</v>
      </c>
      <c r="C184">
        <v>287411</v>
      </c>
      <c r="D184">
        <v>280647</v>
      </c>
      <c r="E184">
        <v>6983</v>
      </c>
      <c r="F184" t="s">
        <v>10</v>
      </c>
      <c r="G184">
        <v>133</v>
      </c>
      <c r="H184">
        <v>7</v>
      </c>
      <c r="I184">
        <v>100</v>
      </c>
      <c r="J184">
        <v>26</v>
      </c>
      <c r="K184">
        <v>0</v>
      </c>
      <c r="L184">
        <v>463</v>
      </c>
      <c r="M184">
        <v>24</v>
      </c>
      <c r="N184">
        <v>12233</v>
      </c>
      <c r="O184">
        <v>42563</v>
      </c>
      <c r="P184" t="s">
        <v>291</v>
      </c>
    </row>
    <row r="185" spans="1:16" x14ac:dyDescent="0.25">
      <c r="A185" s="3">
        <v>44035</v>
      </c>
      <c r="B185" t="s">
        <v>198</v>
      </c>
      <c r="C185">
        <v>38768</v>
      </c>
      <c r="D185">
        <v>282756</v>
      </c>
      <c r="E185">
        <v>9966</v>
      </c>
      <c r="F185" t="s">
        <v>14</v>
      </c>
      <c r="G185">
        <v>129</v>
      </c>
      <c r="H185">
        <v>2</v>
      </c>
      <c r="I185">
        <v>39</v>
      </c>
      <c r="J185">
        <v>88</v>
      </c>
      <c r="K185">
        <v>3</v>
      </c>
      <c r="L185">
        <v>3327</v>
      </c>
      <c r="M185">
        <v>52</v>
      </c>
      <c r="N185">
        <v>1252</v>
      </c>
      <c r="O185">
        <v>32295</v>
      </c>
      <c r="P185" t="s">
        <v>291</v>
      </c>
    </row>
    <row r="186" spans="1:16" x14ac:dyDescent="0.25">
      <c r="A186" s="3">
        <v>44036</v>
      </c>
      <c r="B186" t="s">
        <v>199</v>
      </c>
      <c r="C186">
        <v>98408</v>
      </c>
      <c r="D186">
        <v>281164</v>
      </c>
      <c r="E186">
        <v>6144</v>
      </c>
      <c r="F186" t="s">
        <v>10</v>
      </c>
      <c r="G186">
        <v>126</v>
      </c>
      <c r="H186">
        <v>0</v>
      </c>
      <c r="I186">
        <v>124</v>
      </c>
      <c r="J186">
        <v>2</v>
      </c>
      <c r="K186">
        <v>0</v>
      </c>
      <c r="L186">
        <v>1280</v>
      </c>
      <c r="M186">
        <v>0</v>
      </c>
      <c r="N186">
        <v>0</v>
      </c>
      <c r="O186">
        <v>0</v>
      </c>
      <c r="P186" t="s">
        <v>14</v>
      </c>
    </row>
    <row r="187" spans="1:16" x14ac:dyDescent="0.25">
      <c r="A187" s="3">
        <v>44037</v>
      </c>
      <c r="B187" t="s">
        <v>200</v>
      </c>
      <c r="C187">
        <v>39270</v>
      </c>
      <c r="D187">
        <v>255545</v>
      </c>
      <c r="E187">
        <v>4867</v>
      </c>
      <c r="F187" t="s">
        <v>14</v>
      </c>
      <c r="G187">
        <v>125</v>
      </c>
      <c r="H187">
        <v>4</v>
      </c>
      <c r="I187">
        <v>105</v>
      </c>
      <c r="J187">
        <v>16</v>
      </c>
      <c r="K187">
        <v>2</v>
      </c>
      <c r="L187">
        <v>3183</v>
      </c>
      <c r="M187">
        <v>102</v>
      </c>
      <c r="N187">
        <v>38209</v>
      </c>
      <c r="O187">
        <v>972982</v>
      </c>
      <c r="P187" t="s">
        <v>12</v>
      </c>
    </row>
    <row r="188" spans="1:16" x14ac:dyDescent="0.25">
      <c r="A188" s="3">
        <v>44038</v>
      </c>
      <c r="B188" t="s">
        <v>201</v>
      </c>
      <c r="C188">
        <v>772443</v>
      </c>
      <c r="D188">
        <v>204606</v>
      </c>
      <c r="E188">
        <v>4104</v>
      </c>
      <c r="F188" t="s">
        <v>14</v>
      </c>
      <c r="G188">
        <v>105</v>
      </c>
      <c r="H188">
        <v>0</v>
      </c>
      <c r="I188">
        <v>93</v>
      </c>
      <c r="J188">
        <v>12</v>
      </c>
      <c r="K188">
        <v>0</v>
      </c>
      <c r="L188">
        <v>136</v>
      </c>
      <c r="M188">
        <v>0</v>
      </c>
      <c r="N188">
        <v>54589</v>
      </c>
      <c r="O188">
        <v>70671</v>
      </c>
      <c r="P188" t="s">
        <v>293</v>
      </c>
    </row>
    <row r="189" spans="1:16" x14ac:dyDescent="0.25">
      <c r="A189" s="3">
        <v>44039</v>
      </c>
      <c r="B189" t="s">
        <v>201</v>
      </c>
      <c r="C189">
        <v>98010</v>
      </c>
      <c r="D189">
        <v>228693</v>
      </c>
      <c r="E189">
        <v>5415</v>
      </c>
      <c r="F189" t="s">
        <v>14</v>
      </c>
      <c r="G189">
        <v>92</v>
      </c>
      <c r="H189">
        <v>3</v>
      </c>
      <c r="I189">
        <v>76</v>
      </c>
      <c r="J189">
        <v>13</v>
      </c>
      <c r="K189">
        <v>1</v>
      </c>
      <c r="L189">
        <v>939</v>
      </c>
      <c r="M189">
        <v>31</v>
      </c>
      <c r="N189">
        <v>1500</v>
      </c>
      <c r="O189">
        <v>15305</v>
      </c>
      <c r="P189" t="s">
        <v>291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E432B-A313-473C-976B-3A460DD098E6}">
  <dimension ref="A1"/>
  <sheetViews>
    <sheetView showGridLines="0" showRowColHeaders="0" tabSelected="1" topLeftCell="A4" zoomScaleNormal="100" workbookViewId="0">
      <selection activeCell="R7" sqref="R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UNCLEAN COVID Data</vt:lpstr>
      <vt:lpstr>Data Analysis</vt:lpstr>
      <vt:lpstr>PivotTables</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123</dc:creator>
  <cp:lastModifiedBy>rao tariq ali khan</cp:lastModifiedBy>
  <dcterms:created xsi:type="dcterms:W3CDTF">2025-09-03T09:33:48Z</dcterms:created>
  <dcterms:modified xsi:type="dcterms:W3CDTF">2026-09-26T06:10:52Z</dcterms:modified>
</cp:coreProperties>
</file>